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9040" windowHeight="15720" activeTab="2"/>
  </bookViews>
  <sheets>
    <sheet name="Contrats 2023" sheetId="4" r:id="rId1"/>
    <sheet name="Contrats 2027" sheetId="7" r:id="rId2"/>
    <sheet name="Contrats 2026" sheetId="6" r:id="rId3"/>
    <sheet name="Contrats 2025" sheetId="5" r:id="rId4"/>
    <sheet name="Contrats 2024" sheetId="1" r:id="rId5"/>
    <sheet name="Feuil2" sheetId="2" r:id="rId6"/>
    <sheet name="Feuil3" sheetId="3" r:id="rId7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1" i="7"/>
  <c r="Q58"/>
  <c r="Q48"/>
  <c r="K48" s="1"/>
  <c r="K41"/>
  <c r="Q38"/>
  <c r="Q34"/>
  <c r="K34" s="1"/>
  <c r="Q71" i="6"/>
  <c r="Q58"/>
  <c r="Q48"/>
  <c r="K48" s="1"/>
  <c r="K41"/>
  <c r="Q38"/>
  <c r="Q34"/>
  <c r="K34"/>
  <c r="K11" i="5"/>
  <c r="K60"/>
  <c r="K59"/>
  <c r="K48"/>
  <c r="K18" i="1"/>
  <c r="K45" i="5"/>
  <c r="Q45"/>
  <c r="Q70" l="1"/>
  <c r="Q63"/>
  <c r="Q62"/>
  <c r="Q61"/>
  <c r="Q60"/>
  <c r="Q59"/>
  <c r="Q57"/>
  <c r="Q56"/>
  <c r="K56" s="1"/>
  <c r="Q55"/>
  <c r="K55"/>
  <c r="Q54"/>
  <c r="K54" s="1"/>
  <c r="Q53"/>
  <c r="Q52"/>
  <c r="Q47"/>
  <c r="K47" s="1"/>
  <c r="Q46"/>
  <c r="K46" s="1"/>
  <c r="Q41"/>
  <c r="K41" s="1"/>
  <c r="K40"/>
  <c r="Q37"/>
  <c r="Q36"/>
  <c r="Q33"/>
  <c r="K33" s="1"/>
  <c r="K15" i="1"/>
  <c r="K26"/>
  <c r="K30"/>
  <c r="K29"/>
  <c r="Q56"/>
  <c r="K56" s="1"/>
  <c r="Q57"/>
  <c r="K57" s="1"/>
  <c r="Q34"/>
  <c r="K34" s="1"/>
  <c r="Q32"/>
  <c r="K32" s="1"/>
  <c r="Q33"/>
  <c r="K33" s="1"/>
  <c r="Q41"/>
  <c r="K41" s="1"/>
  <c r="Q47"/>
  <c r="K47" s="1"/>
  <c r="Q48"/>
  <c r="K48" s="1"/>
  <c r="Q63"/>
  <c r="K63" s="1"/>
  <c r="Q64"/>
  <c r="K64" s="1"/>
  <c r="Q58" l="1"/>
  <c r="K58" s="1"/>
  <c r="I46" i="4"/>
  <c r="O46"/>
  <c r="O50"/>
  <c r="O51"/>
  <c r="O52"/>
  <c r="I52" s="1"/>
  <c r="Q54" i="1"/>
  <c r="K54" s="1"/>
  <c r="O48" i="4"/>
  <c r="I48" s="1"/>
  <c r="I51"/>
  <c r="O43" l="1"/>
  <c r="O40"/>
  <c r="O38"/>
  <c r="O24" l="1"/>
  <c r="I24" s="1"/>
  <c r="O17"/>
  <c r="I17" s="1"/>
  <c r="O28"/>
  <c r="I28" s="1"/>
  <c r="O29"/>
  <c r="I29" s="1"/>
  <c r="O30"/>
  <c r="I30" s="1"/>
  <c r="O22"/>
  <c r="I22" s="1"/>
  <c r="O12"/>
  <c r="I12" s="1"/>
  <c r="O11"/>
  <c r="I11" s="1"/>
  <c r="Q71" i="1" l="1"/>
  <c r="Q62" l="1"/>
  <c r="K62" s="1"/>
  <c r="Q61"/>
  <c r="K61" s="1"/>
  <c r="Q55"/>
  <c r="K55" s="1"/>
  <c r="Q60"/>
  <c r="Q53"/>
  <c r="Q42"/>
  <c r="K42" s="1"/>
  <c r="Q37"/>
  <c r="Q36"/>
  <c r="Q11"/>
  <c r="Q26"/>
  <c r="Q24"/>
  <c r="K24" s="1"/>
  <c r="Q19"/>
  <c r="Q46"/>
  <c r="K46" s="1"/>
  <c r="Q31"/>
</calcChain>
</file>

<file path=xl/sharedStrings.xml><?xml version="1.0" encoding="utf-8"?>
<sst xmlns="http://schemas.openxmlformats.org/spreadsheetml/2006/main" count="1180" uniqueCount="232">
  <si>
    <t xml:space="preserve">Lycée Jean Puy </t>
  </si>
  <si>
    <t xml:space="preserve">Agence comptable </t>
  </si>
  <si>
    <t xml:space="preserve">Etablissement concerné : </t>
  </si>
  <si>
    <t>Objet du contrat</t>
  </si>
  <si>
    <t>Prestataire</t>
  </si>
  <si>
    <t>Dates de début du contrat</t>
  </si>
  <si>
    <t>Dates de fin du contrat</t>
  </si>
  <si>
    <t>Durée et mode de reconduction</t>
  </si>
  <si>
    <t>Date et numéro de l'acte du CA</t>
  </si>
  <si>
    <t>Présence d'une clause de révision du prix</t>
  </si>
  <si>
    <t>Coût annuel</t>
  </si>
  <si>
    <t>Modalités de règlement
(annuel - semestriel - trimestriel)</t>
  </si>
  <si>
    <t>1er règlement</t>
  </si>
  <si>
    <t>2ème règlement</t>
  </si>
  <si>
    <t>3ème règlement</t>
  </si>
  <si>
    <t>4ème règlement</t>
  </si>
  <si>
    <t>Total</t>
  </si>
  <si>
    <t>Analyses sanitaires</t>
  </si>
  <si>
    <t>05/07/2022    N°186</t>
  </si>
  <si>
    <t>Entretien et maintenance du défibrillateur</t>
  </si>
  <si>
    <t>SCHILLER</t>
  </si>
  <si>
    <t>SAVOIE LABO</t>
  </si>
  <si>
    <t>Location de la machine à affranchir</t>
  </si>
  <si>
    <t>Maintenance porte automatique</t>
  </si>
  <si>
    <t>RECORD</t>
  </si>
  <si>
    <t>08/02/2022   N°122</t>
  </si>
  <si>
    <t>02/12/2021    N°80</t>
  </si>
  <si>
    <t>Maintenance chauffage CVC</t>
  </si>
  <si>
    <t>BEALEM</t>
  </si>
  <si>
    <t>TSA</t>
  </si>
  <si>
    <t>01/12/2022   N°102</t>
  </si>
  <si>
    <t>Contrôle des installations de gaz</t>
  </si>
  <si>
    <t>DEKRA</t>
  </si>
  <si>
    <t>08/02/2022  N°125</t>
  </si>
  <si>
    <t>21/10/2021   N°23</t>
  </si>
  <si>
    <t>QUADIENT</t>
  </si>
  <si>
    <t>Marché gaz par l'UGAP</t>
  </si>
  <si>
    <t>GAZ de BORDEAUX</t>
  </si>
  <si>
    <t>12/11/2020    N°7</t>
  </si>
  <si>
    <t>Marché pour la fourniture d'électricité UGAP</t>
  </si>
  <si>
    <t>TOTAL ENERGIES</t>
  </si>
  <si>
    <t>02/02/2021    N°62</t>
  </si>
  <si>
    <t>Marché téléphonique fixe</t>
  </si>
  <si>
    <t>SFR BUSINESS TEAM</t>
  </si>
  <si>
    <t>02/02/2021    N°61</t>
  </si>
  <si>
    <t>ECOVALIM</t>
  </si>
  <si>
    <t>01/07/2021    N°88</t>
  </si>
  <si>
    <t>05/07/2022    N180</t>
  </si>
  <si>
    <t>Service concerné (AP,ALO…)</t>
  </si>
  <si>
    <t>MARCHE UGAP</t>
  </si>
  <si>
    <t>aucune</t>
  </si>
  <si>
    <t>ALO</t>
  </si>
  <si>
    <t>MAINTENANCE</t>
  </si>
  <si>
    <t>Maintenance ascenseurs :
marché régional en direct</t>
  </si>
  <si>
    <t>AUVERGNE ASCENSEURS</t>
  </si>
  <si>
    <t xml:space="preserve"> /</t>
  </si>
  <si>
    <t>Photocopieurs</t>
  </si>
  <si>
    <t>RBI</t>
  </si>
  <si>
    <t>06/07/2023 N°218</t>
  </si>
  <si>
    <t>CFC</t>
  </si>
  <si>
    <t>Droits de reproduction des œuvres protégées</t>
  </si>
  <si>
    <t>28/03/2023 N°171</t>
  </si>
  <si>
    <t>CUISINE</t>
  </si>
  <si>
    <t>Collecte huiles usagées</t>
  </si>
  <si>
    <t>Entretien plafond filtrant</t>
  </si>
  <si>
    <t>LOGICIELS / MATERIELS</t>
  </si>
  <si>
    <t>TURBO SELF</t>
  </si>
  <si>
    <t>A renouveler tous les ans</t>
  </si>
  <si>
    <t>Maintenance sur matériels TURBO SELF
Contrat TEAM V2</t>
  </si>
  <si>
    <t>Licence Turbo Self Air pour contrôle d' accès</t>
  </si>
  <si>
    <t>SELF AIR</t>
  </si>
  <si>
    <t>CONTRÔLE</t>
  </si>
  <si>
    <t>Contrôle des installations électriques</t>
  </si>
  <si>
    <t>APAVE</t>
  </si>
  <si>
    <t>02/03/205</t>
  </si>
  <si>
    <t>08/02/2022 N°126</t>
  </si>
  <si>
    <t>A FAIRE</t>
  </si>
  <si>
    <t>Maintenance tunnel de lavage</t>
  </si>
  <si>
    <t>Entretien matériel de cuisine</t>
  </si>
  <si>
    <t>HOBART</t>
  </si>
  <si>
    <t>08/11/2022 N°54</t>
  </si>
  <si>
    <t>commande chaque année par la centrale d'achat régionale</t>
  </si>
  <si>
    <t>Easilys
logiciel GPAO restauration</t>
  </si>
  <si>
    <t>Logique Tranquille
Bac à stages</t>
  </si>
  <si>
    <t>Logique Tranquille</t>
  </si>
  <si>
    <t>Maintenance Autolaveuse</t>
  </si>
  <si>
    <t>KARCHER</t>
  </si>
  <si>
    <t>Enlèvement du papier et des cartons</t>
  </si>
  <si>
    <t>VALORISE</t>
  </si>
  <si>
    <t>ASSURANCE</t>
  </si>
  <si>
    <t>Assurance Autolaveuse autoportée</t>
  </si>
  <si>
    <t>assurance Région
de 2021 à 2026</t>
  </si>
  <si>
    <t>A partir de 2027 : prendre assurance lycée</t>
  </si>
  <si>
    <t>Télésurveillance du lycée</t>
  </si>
  <si>
    <t>AIS</t>
  </si>
  <si>
    <t>08/02/2022 N°121</t>
  </si>
  <si>
    <t>Maintenance défibrilateur</t>
  </si>
  <si>
    <t>21,12,2021</t>
  </si>
  <si>
    <t>20,12,2024</t>
  </si>
  <si>
    <t>02/12/2021   N° 80</t>
  </si>
  <si>
    <t>LYCÉE JEAN PUY</t>
  </si>
  <si>
    <t>BUREAU VERITAS</t>
  </si>
  <si>
    <t>Licence Turbo Self</t>
  </si>
  <si>
    <t>Easilys - assistance
logiciel GPAO restauration</t>
  </si>
  <si>
    <t>Contrôle EPS : 2 espaliers + 1 barre de traction</t>
  </si>
  <si>
    <t>contrôle EPS : gymnase (basket + hand)</t>
  </si>
  <si>
    <t>Contrôle du SSI +  désenfumage</t>
  </si>
  <si>
    <t>Contrôle du SSI + désenfumage</t>
  </si>
  <si>
    <t>périodicité</t>
  </si>
  <si>
    <t>annuelle</t>
  </si>
  <si>
    <t>triennale</t>
  </si>
  <si>
    <t>biennale</t>
  </si>
  <si>
    <t>semestrielle</t>
  </si>
  <si>
    <t>contrôle colonne sèche incendie</t>
  </si>
  <si>
    <t>annuelle 
+
une fois tous les 5 ans : contrôle plus approfondi (à prévoir en 2025)</t>
  </si>
  <si>
    <t>maintenance skydôme de désenfumage</t>
  </si>
  <si>
    <t>maintenance désenfumage</t>
  </si>
  <si>
    <t>Maintenane SSI</t>
  </si>
  <si>
    <t>maintenance extincteurs</t>
  </si>
  <si>
    <t>contrôle installations thermiques (efficacité énergétique chaudières et émissions polluantes)</t>
  </si>
  <si>
    <t>contrôle des lignes de vie en toiture</t>
  </si>
  <si>
    <t>contrôle porte automatique</t>
  </si>
  <si>
    <t>DALKIA</t>
  </si>
  <si>
    <t>marché régional</t>
  </si>
  <si>
    <t>maintenance équipements RSW servant à l'optimisation électrique</t>
  </si>
  <si>
    <t>à vérifier si dans le contrat DALKIA</t>
  </si>
  <si>
    <t>maintenance une fois tous les trois ans</t>
  </si>
  <si>
    <t>maintenance du défibrillateur</t>
  </si>
  <si>
    <t>contrôle des filtres de hottes et armoires chimiques</t>
  </si>
  <si>
    <t>ajouter ALGECO futur contrat</t>
  </si>
  <si>
    <t>LOIRE INCENDIE</t>
  </si>
  <si>
    <t>LIS</t>
  </si>
  <si>
    <t>dératisation</t>
  </si>
  <si>
    <t>PLANETE ENVIRONNEMENT</t>
  </si>
  <si>
    <t>trimestriel</t>
  </si>
  <si>
    <t>ALEX CUISINE</t>
  </si>
  <si>
    <t>ASEPTI AIR</t>
  </si>
  <si>
    <t>bac à graisses</t>
  </si>
  <si>
    <t>OSIS</t>
  </si>
  <si>
    <t>Easilys - assistance
logiciel GPAO : collecte déchets et PMS</t>
  </si>
  <si>
    <t>maintenance sur matériel musculation</t>
  </si>
  <si>
    <t>ESTHEFIT</t>
  </si>
  <si>
    <t>assurance des élèves + voiture + remorque</t>
  </si>
  <si>
    <t>SRH</t>
  </si>
  <si>
    <t>MAIF</t>
  </si>
  <si>
    <t>Date de la dernière prestation</t>
  </si>
  <si>
    <r>
      <t xml:space="preserve">Maintenance SSI
</t>
    </r>
    <r>
      <rPr>
        <sz val="10"/>
        <color rgb="FFFF0000"/>
        <rFont val="Arial"/>
        <family val="2"/>
      </rPr>
      <t>on a un contrat pour la nouvelle centrale
attention : pour l'ancienne, demander une intervention annuelle sur devis et bon de commande</t>
    </r>
  </si>
  <si>
    <r>
      <t xml:space="preserve">maintenance désenfumage :
</t>
    </r>
    <r>
      <rPr>
        <sz val="10"/>
        <color rgb="FFFF0000"/>
        <rFont val="Arial"/>
        <family val="2"/>
      </rPr>
      <t>TSA fait vérif des instal. désenfumage asservies au SSI
si dysfonctionnement il nous le signale pour que l'on fasse intervenir une entreprise</t>
    </r>
  </si>
  <si>
    <r>
      <t xml:space="preserve">maintenance extincteurs
</t>
    </r>
    <r>
      <rPr>
        <sz val="10"/>
        <color rgb="FFFF0000"/>
        <rFont val="Arial"/>
        <family val="2"/>
      </rPr>
      <t>pas de contrat car LIS fournit les extincteurs pour la restructuration
j'attends la fin de la restructuration</t>
    </r>
  </si>
  <si>
    <t>Ecrans dynamiques</t>
  </si>
  <si>
    <t xml:space="preserve"> - gymnase : 1 écran
installation : 07/06/2024</t>
  </si>
  <si>
    <t xml:space="preserve"> - self : 2 écrans
installation : 11/03/2024</t>
  </si>
  <si>
    <r>
      <t xml:space="preserve">Vérification de l'ascenseur :
</t>
    </r>
    <r>
      <rPr>
        <b/>
        <sz val="8"/>
        <color indexed="10"/>
        <rFont val="Arial"/>
        <family val="2"/>
      </rPr>
      <t xml:space="preserve"> - contrôle technique de l'ascenseur : tous les 5 ans - contrôle fait par la Région (incombe au propriétaire)
 - contrôle : rapport de vérifications périodiques règlementaires en exploitation = RVRE (incendie de l'ascenseur)  : tous les 5 ans - contrôle à faire par le lycée</t>
    </r>
  </si>
  <si>
    <t>portes et portails automatiques :
Vu avec Daniel Bousquet, inspecteur hygiène et sécurité du rectorat :
inutile d'avoir 1 contrat maintenance + 1 contrat vérification :
"la vérification assurée par un technicien compétent se fait tous les 6 mois selon les contraintes réglementaires. Si tu prends une entreprise, dans la même visite ils te font la vérification du bon fonctionnement de toutes les sécurités ainsi que la maintenance".
 - pour la porte automatique du préau : je prends RECORD (ils feront contrôle + maintenance)
 - pour les portails : je fais un contrôle par DEKRA, si il y a une panne, je fais une demande d'intervention à VERVAS METAL</t>
  </si>
  <si>
    <t xml:space="preserve">tous les 5 ans
ascenseur bât Noëlas </t>
  </si>
  <si>
    <t>annuel</t>
  </si>
  <si>
    <r>
      <t xml:space="preserve">maintenance sur matériel musculation
</t>
    </r>
    <r>
      <rPr>
        <sz val="10"/>
        <color rgb="FFFF0000"/>
        <rFont val="Arial"/>
        <family val="2"/>
      </rPr>
      <t>pas de contrat
faire bon de commande chaque année</t>
    </r>
  </si>
  <si>
    <r>
      <t xml:space="preserve">contrat téléphone mobile
</t>
    </r>
    <r>
      <rPr>
        <b/>
        <sz val="10"/>
        <color rgb="FF0070C0"/>
        <rFont val="Arial"/>
        <family val="2"/>
      </rPr>
      <t>responsable équipe</t>
    </r>
  </si>
  <si>
    <r>
      <t xml:space="preserve">contrat téléphone mobile
</t>
    </r>
    <r>
      <rPr>
        <b/>
        <sz val="10"/>
        <color rgb="FF0070C0"/>
        <rFont val="Arial"/>
        <family val="2"/>
      </rPr>
      <t>proviseur</t>
    </r>
  </si>
  <si>
    <r>
      <t xml:space="preserve">contrat téléphone mobile
</t>
    </r>
    <r>
      <rPr>
        <b/>
        <sz val="10"/>
        <color rgb="FF0070C0"/>
        <rFont val="Arial"/>
        <family val="2"/>
      </rPr>
      <t>agent maintenance</t>
    </r>
  </si>
  <si>
    <t>pris en charge directement par la Région</t>
  </si>
  <si>
    <t>reconduction express
chaque année faire courrier de reconduction en juin</t>
  </si>
  <si>
    <t>ONDAINE AGRO</t>
  </si>
  <si>
    <t>intervient gratuitement</t>
  </si>
  <si>
    <t>résiliation au 01/10/2024</t>
  </si>
  <si>
    <t>mise en service à Noëlas : janvier 2022
contrôle à faire fin 2026</t>
  </si>
  <si>
    <t>Abonnement compris : 5 ans
(nov 2030)</t>
  </si>
  <si>
    <t>INTERVENANT</t>
  </si>
  <si>
    <t>Interventions pour le CAV</t>
  </si>
  <si>
    <t>ERIC CARJOT</t>
  </si>
  <si>
    <t>04/10/2023
01/10/2024 : contrôle fait sans les poids 
A REFAIRE EN 2025</t>
  </si>
  <si>
    <r>
      <t xml:space="preserve">Maintenance </t>
    </r>
    <r>
      <rPr>
        <sz val="11"/>
        <color rgb="FFFF0000"/>
        <rFont val="Arial"/>
        <family val="2"/>
      </rPr>
      <t xml:space="preserve">ancien SSI </t>
    </r>
    <r>
      <rPr>
        <sz val="11"/>
        <color theme="1"/>
        <rFont val="Arial"/>
        <family val="2"/>
      </rPr>
      <t xml:space="preserve">+  désenfumage 
</t>
    </r>
  </si>
  <si>
    <t>vente de viennoiseries</t>
  </si>
  <si>
    <t>UNICEF</t>
  </si>
  <si>
    <t>contrat triennal
de sept 2023 à juin 2026</t>
  </si>
  <si>
    <t>algéco 516 €</t>
  </si>
  <si>
    <t>Licence Turbo Selfair pour contrôle d' accès</t>
  </si>
  <si>
    <t>505,56 TTC en 2025</t>
  </si>
  <si>
    <t>792 € TTC en 2025</t>
  </si>
  <si>
    <t>337,26 TTC en 2025</t>
  </si>
  <si>
    <t>1354,69 TTC en 2025</t>
  </si>
  <si>
    <t>600 € en 2025</t>
  </si>
  <si>
    <t>342 € en 2025</t>
  </si>
  <si>
    <t>ENGIE</t>
  </si>
  <si>
    <t>407,33 € PITNEY BOWLES du 07,01,25 au 31,12,2027</t>
  </si>
  <si>
    <t>PITNEY BOWLES</t>
  </si>
  <si>
    <t>ajouter bâtiment noëlas</t>
  </si>
  <si>
    <t>Enlèvement du papier</t>
  </si>
  <si>
    <t>Contrôle des installations électriques ALGECO</t>
  </si>
  <si>
    <t>DALKIA marché Région</t>
  </si>
  <si>
    <t>28,05,2025</t>
  </si>
  <si>
    <t>D-SECURITE</t>
  </si>
  <si>
    <t>01,06,25</t>
  </si>
  <si>
    <t>31,12,25</t>
  </si>
  <si>
    <t>178,80 € 2026-2027-2028</t>
  </si>
  <si>
    <t>05,09,25</t>
  </si>
  <si>
    <t>AML GRANGER</t>
  </si>
  <si>
    <t>17,06,2025</t>
  </si>
  <si>
    <t>LES PTITS BOUCHONS</t>
  </si>
  <si>
    <t>contrat triennal
de sept 2026 à juin 2030</t>
  </si>
  <si>
    <t xml:space="preserve"> - CDI + VIE SCOLAIRE : 2 écrans
installation : 09/2025</t>
  </si>
  <si>
    <t>contrat triennal
de sept 2023 à juin 2025</t>
  </si>
  <si>
    <t>contrat triennal
de sept 2025 à juin 2030</t>
  </si>
  <si>
    <t>durée du contrat 1 an, renouvelable 1 an</t>
  </si>
  <si>
    <t>22,01,2026</t>
  </si>
  <si>
    <t xml:space="preserve">04/10/2023
01/10/2024 02/12/2025 : contrôle fait avec les poids 
</t>
  </si>
  <si>
    <t xml:space="preserve"> 14,10,25 N° 35</t>
  </si>
  <si>
    <t>D-SECURITE GROUPE</t>
  </si>
  <si>
    <t>changement des électrodes - 2026</t>
  </si>
  <si>
    <t>mise en service à Noëlas : janvier 2022
contrôle fait le 23,04,2026</t>
  </si>
  <si>
    <t>faire nouveau contrat
 sur 3 ans à compter du ,,,,</t>
  </si>
  <si>
    <t>contrôle des lignes de vie en toiture 
bât gymnase+demie-pension</t>
  </si>
  <si>
    <t>contrôle des lignes de vie en toiture 
bât Noëlas</t>
  </si>
  <si>
    <t>28,04,2026</t>
  </si>
  <si>
    <t>tous les mois</t>
  </si>
  <si>
    <t>01,01,26</t>
  </si>
  <si>
    <t>31,12,26</t>
  </si>
  <si>
    <t>Marché gaz DALKIA</t>
  </si>
  <si>
    <t>06,05,25</t>
  </si>
  <si>
    <t>05,06,28</t>
  </si>
  <si>
    <t>31,03,25 N° 134</t>
  </si>
  <si>
    <t>31,03,25 N° 135</t>
  </si>
  <si>
    <t>CONTRAT A REFAIRE en déc 2026 pour janv 2027</t>
  </si>
  <si>
    <t>pas de contrat</t>
  </si>
  <si>
    <t>31/032028</t>
  </si>
  <si>
    <t>31,03,25 N° 125</t>
  </si>
  <si>
    <t>SOCOTEC</t>
  </si>
  <si>
    <t>10,07,2026</t>
  </si>
  <si>
    <t>A.P.S.</t>
  </si>
  <si>
    <t>23,06,26</t>
  </si>
  <si>
    <t>L.I.S.</t>
  </si>
  <si>
    <t>16,06,2026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</si>
</sst>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b/>
      <sz val="8"/>
      <color indexed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5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164" fontId="7" fillId="0" borderId="8" xfId="0" applyNumberFormat="1" applyFont="1" applyBorder="1" applyAlignment="1">
      <alignment vertical="center"/>
    </xf>
    <xf numFmtId="164" fontId="7" fillId="0" borderId="9" xfId="0" applyNumberFormat="1" applyFont="1" applyBorder="1" applyAlignment="1">
      <alignment vertical="center"/>
    </xf>
    <xf numFmtId="0" fontId="8" fillId="2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4" fontId="7" fillId="0" borderId="8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vertical="center"/>
    </xf>
    <xf numFmtId="164" fontId="7" fillId="0" borderId="8" xfId="0" applyNumberFormat="1" applyFont="1" applyFill="1" applyBorder="1" applyAlignment="1">
      <alignment vertical="center"/>
    </xf>
    <xf numFmtId="164" fontId="7" fillId="0" borderId="9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vertical="center"/>
    </xf>
    <xf numFmtId="14" fontId="7" fillId="0" borderId="8" xfId="0" applyNumberFormat="1" applyFont="1" applyFill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14" fontId="7" fillId="0" borderId="13" xfId="0" applyNumberFormat="1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164" fontId="7" fillId="0" borderId="13" xfId="0" applyNumberFormat="1" applyFont="1" applyFill="1" applyBorder="1" applyAlignment="1">
      <alignment vertical="center"/>
    </xf>
    <xf numFmtId="164" fontId="7" fillId="0" borderId="14" xfId="0" applyNumberFormat="1" applyFont="1" applyFill="1" applyBorder="1" applyAlignment="1">
      <alignment vertical="center"/>
    </xf>
    <xf numFmtId="0" fontId="7" fillId="0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164" fontId="6" fillId="0" borderId="8" xfId="0" applyNumberFormat="1" applyFont="1" applyBorder="1" applyAlignment="1">
      <alignment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vertical="center"/>
    </xf>
    <xf numFmtId="0" fontId="7" fillId="0" borderId="1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164" fontId="7" fillId="0" borderId="0" xfId="0" applyNumberFormat="1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14" fontId="9" fillId="0" borderId="11" xfId="0" applyNumberFormat="1" applyFont="1" applyFill="1" applyBorder="1" applyAlignment="1">
      <alignment horizontal="center" vertical="center" wrapText="1"/>
    </xf>
    <xf numFmtId="14" fontId="11" fillId="0" borderId="8" xfId="0" applyNumberFormat="1" applyFont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1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9" fillId="0" borderId="11" xfId="0" applyFont="1" applyBorder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20" xfId="0" applyFont="1" applyBorder="1" applyAlignment="1">
      <alignment vertical="center" wrapText="1"/>
    </xf>
    <xf numFmtId="0" fontId="7" fillId="0" borderId="24" xfId="0" applyFont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9" fillId="0" borderId="11" xfId="0" applyNumberFormat="1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/>
    </xf>
    <xf numFmtId="14" fontId="11" fillId="0" borderId="8" xfId="0" applyNumberFormat="1" applyFont="1" applyFill="1" applyBorder="1" applyAlignment="1">
      <alignment horizontal="center" vertical="center" wrapText="1"/>
    </xf>
    <xf numFmtId="14" fontId="14" fillId="4" borderId="1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7" fillId="4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64" fontId="7" fillId="0" borderId="10" xfId="0" applyNumberFormat="1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6" fillId="6" borderId="0" xfId="0" applyFont="1" applyFill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4" fontId="7" fillId="0" borderId="10" xfId="0" applyNumberFormat="1" applyFont="1" applyFill="1" applyBorder="1" applyAlignment="1">
      <alignment horizontal="center" vertical="center" wrapText="1"/>
    </xf>
    <xf numFmtId="14" fontId="7" fillId="0" borderId="1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14" fontId="11" fillId="0" borderId="13" xfId="0" applyNumberFormat="1" applyFont="1" applyBorder="1" applyAlignment="1">
      <alignment horizontal="center" vertical="center" wrapText="1"/>
    </xf>
    <xf numFmtId="14" fontId="11" fillId="0" borderId="25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25" xfId="0" applyNumberFormat="1" applyFont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4" borderId="28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 wrapText="1"/>
    </xf>
    <xf numFmtId="14" fontId="6" fillId="0" borderId="25" xfId="0" applyNumberFormat="1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1352550</xdr:colOff>
      <xdr:row>0</xdr:row>
      <xdr:rowOff>161925</xdr:rowOff>
    </xdr:from>
    <xdr:to>
      <xdr:col>5</xdr:col>
      <xdr:colOff>685800</xdr:colOff>
      <xdr:row>4</xdr:row>
      <xdr:rowOff>26823</xdr:rowOff>
    </xdr:to>
    <xdr:pic>
      <xdr:nvPicPr>
        <xdr:cNvPr id="2" name="officeArt object">
          <a:extLst>
            <a:ext uri="{FF2B5EF4-FFF2-40B4-BE49-F238E27FC236}">
              <a16:creationId xmlns:a16="http://schemas.microsoft.com/office/drawing/2014/main" xmlns="" id="{0294A497-2D54-4471-BF18-AAF9E13BE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619625" y="161925"/>
          <a:ext cx="1552575" cy="598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228600</xdr:colOff>
      <xdr:row>3</xdr:row>
      <xdr:rowOff>30449</xdr:rowOff>
    </xdr:to>
    <xdr:pic>
      <xdr:nvPicPr>
        <xdr:cNvPr id="3" name="Picture 1" descr="M:\données\mes documents\logo jp 2024.jpg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38475" y="180975"/>
          <a:ext cx="942975" cy="40192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1352550</xdr:colOff>
      <xdr:row>0</xdr:row>
      <xdr:rowOff>161925</xdr:rowOff>
    </xdr:from>
    <xdr:to>
      <xdr:col>7</xdr:col>
      <xdr:colOff>685800</xdr:colOff>
      <xdr:row>4</xdr:row>
      <xdr:rowOff>26823</xdr:rowOff>
    </xdr:to>
    <xdr:pic>
      <xdr:nvPicPr>
        <xdr:cNvPr id="2" name="officeArt object">
          <a:extLst>
            <a:ext uri="{FF2B5EF4-FFF2-40B4-BE49-F238E27FC236}">
              <a16:creationId xmlns:a16="http://schemas.microsoft.com/office/drawing/2014/main" xmlns="" id="{0294A497-2D54-4471-BF18-AAF9E13BE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724775" y="161925"/>
          <a:ext cx="1552575" cy="598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5</xdr:col>
      <xdr:colOff>228600</xdr:colOff>
      <xdr:row>3</xdr:row>
      <xdr:rowOff>30449</xdr:rowOff>
    </xdr:to>
    <xdr:pic>
      <xdr:nvPicPr>
        <xdr:cNvPr id="3" name="Picture 1" descr="M:\données\mes documents\logo jp 2024.jpg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143625" y="180975"/>
          <a:ext cx="942975" cy="401924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1352550</xdr:colOff>
      <xdr:row>0</xdr:row>
      <xdr:rowOff>161925</xdr:rowOff>
    </xdr:from>
    <xdr:to>
      <xdr:col>7</xdr:col>
      <xdr:colOff>685800</xdr:colOff>
      <xdr:row>4</xdr:row>
      <xdr:rowOff>26823</xdr:rowOff>
    </xdr:to>
    <xdr:pic>
      <xdr:nvPicPr>
        <xdr:cNvPr id="2" name="officeArt object">
          <a:extLst>
            <a:ext uri="{FF2B5EF4-FFF2-40B4-BE49-F238E27FC236}">
              <a16:creationId xmlns:a16="http://schemas.microsoft.com/office/drawing/2014/main" xmlns="" id="{0294A497-2D54-4471-BF18-AAF9E13BE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524750" y="161925"/>
          <a:ext cx="1552575" cy="598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5</xdr:col>
      <xdr:colOff>228600</xdr:colOff>
      <xdr:row>3</xdr:row>
      <xdr:rowOff>30449</xdr:rowOff>
    </xdr:to>
    <xdr:pic>
      <xdr:nvPicPr>
        <xdr:cNvPr id="3" name="Picture 1" descr="M:\données\mes documents\logo jp 2024.jpg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943600" y="180975"/>
          <a:ext cx="942975" cy="401924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1352550</xdr:colOff>
      <xdr:row>0</xdr:row>
      <xdr:rowOff>161925</xdr:rowOff>
    </xdr:from>
    <xdr:to>
      <xdr:col>7</xdr:col>
      <xdr:colOff>685800</xdr:colOff>
      <xdr:row>4</xdr:row>
      <xdr:rowOff>26823</xdr:rowOff>
    </xdr:to>
    <xdr:pic>
      <xdr:nvPicPr>
        <xdr:cNvPr id="2" name="officeArt object">
          <a:extLst>
            <a:ext uri="{FF2B5EF4-FFF2-40B4-BE49-F238E27FC236}">
              <a16:creationId xmlns:a16="http://schemas.microsoft.com/office/drawing/2014/main" xmlns="" id="{0294A497-2D54-4471-BF18-AAF9E13BE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524750" y="161925"/>
          <a:ext cx="1552575" cy="598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5</xdr:col>
      <xdr:colOff>228600</xdr:colOff>
      <xdr:row>3</xdr:row>
      <xdr:rowOff>30449</xdr:rowOff>
    </xdr:to>
    <xdr:pic>
      <xdr:nvPicPr>
        <xdr:cNvPr id="3" name="Picture 1" descr="M:\données\mes documents\logo jp 2024.jpg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943600" y="180975"/>
          <a:ext cx="942975" cy="401924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1352550</xdr:colOff>
      <xdr:row>0</xdr:row>
      <xdr:rowOff>161925</xdr:rowOff>
    </xdr:from>
    <xdr:to>
      <xdr:col>7</xdr:col>
      <xdr:colOff>685800</xdr:colOff>
      <xdr:row>4</xdr:row>
      <xdr:rowOff>26823</xdr:rowOff>
    </xdr:to>
    <xdr:pic>
      <xdr:nvPicPr>
        <xdr:cNvPr id="3" name="officeArt object">
          <a:extLst>
            <a:ext uri="{FF2B5EF4-FFF2-40B4-BE49-F238E27FC236}">
              <a16:creationId xmlns:a16="http://schemas.microsoft.com/office/drawing/2014/main" xmlns="" id="{0294A497-2D54-4471-BF18-AAF9E13BE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600575" y="161925"/>
          <a:ext cx="2171700" cy="636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5</xdr:col>
      <xdr:colOff>228600</xdr:colOff>
      <xdr:row>3</xdr:row>
      <xdr:rowOff>30449</xdr:rowOff>
    </xdr:to>
    <xdr:pic>
      <xdr:nvPicPr>
        <xdr:cNvPr id="5" name="Picture 1" descr="M:\données\mes documents\logo jp 2024.jpg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38475" y="180975"/>
          <a:ext cx="942975" cy="4019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opLeftCell="A43" workbookViewId="0">
      <selection activeCell="I54" sqref="I54"/>
    </sheetView>
  </sheetViews>
  <sheetFormatPr baseColWidth="10" defaultRowHeight="14.25"/>
  <cols>
    <col min="1" max="1" width="26.28515625" style="15" customWidth="1"/>
    <col min="2" max="2" width="19.28515625" style="8" customWidth="1"/>
    <col min="3" max="3" width="10.7109375" style="15" customWidth="1"/>
    <col min="4" max="4" width="13" style="8" customWidth="1"/>
    <col min="5" max="5" width="13" style="15" customWidth="1"/>
    <col min="6" max="6" width="12.42578125" style="15" customWidth="1"/>
    <col min="7" max="7" width="17.42578125" style="8" customWidth="1"/>
    <col min="8" max="16384" width="11.42578125" style="8"/>
  </cols>
  <sheetData>
    <row r="1" spans="1:17">
      <c r="A1" s="2" t="s">
        <v>0</v>
      </c>
    </row>
    <row r="2" spans="1:17" ht="15" thickBot="1">
      <c r="A2" s="3" t="s">
        <v>1</v>
      </c>
    </row>
    <row r="5" spans="1:17" ht="15" thickBot="1"/>
    <row r="6" spans="1:17" s="9" customFormat="1" ht="13.5" thickBot="1">
      <c r="A6" s="4" t="s">
        <v>2</v>
      </c>
      <c r="B6" s="127" t="s">
        <v>100</v>
      </c>
      <c r="C6" s="127"/>
      <c r="D6" s="127"/>
      <c r="E6" s="128"/>
      <c r="F6" s="16"/>
    </row>
    <row r="7" spans="1:17" s="9" customFormat="1" ht="12.75">
      <c r="A7" s="16"/>
      <c r="C7" s="16"/>
      <c r="E7" s="16"/>
      <c r="F7" s="16"/>
    </row>
    <row r="8" spans="1:17" s="9" customFormat="1" ht="13.5" thickBot="1">
      <c r="A8" s="16"/>
      <c r="C8" s="16"/>
      <c r="E8" s="16"/>
      <c r="F8" s="16"/>
    </row>
    <row r="9" spans="1:17" s="9" customFormat="1" ht="76.5">
      <c r="A9" s="1" t="s">
        <v>3</v>
      </c>
      <c r="B9" s="46" t="s">
        <v>4</v>
      </c>
      <c r="C9" s="46" t="s">
        <v>48</v>
      </c>
      <c r="D9" s="46" t="s">
        <v>5</v>
      </c>
      <c r="E9" s="46" t="s">
        <v>6</v>
      </c>
      <c r="F9" s="46" t="s">
        <v>7</v>
      </c>
      <c r="G9" s="46" t="s">
        <v>8</v>
      </c>
      <c r="H9" s="46" t="s">
        <v>9</v>
      </c>
      <c r="I9" s="46" t="s">
        <v>10</v>
      </c>
      <c r="J9" s="46" t="s">
        <v>11</v>
      </c>
      <c r="K9" s="46" t="s">
        <v>12</v>
      </c>
      <c r="L9" s="46" t="s">
        <v>13</v>
      </c>
      <c r="M9" s="46" t="s">
        <v>14</v>
      </c>
      <c r="N9" s="47" t="s">
        <v>15</v>
      </c>
      <c r="O9" s="48" t="s">
        <v>16</v>
      </c>
    </row>
    <row r="10" spans="1:17" s="9" customFormat="1" ht="18.75" customHeight="1">
      <c r="A10" s="19" t="s">
        <v>71</v>
      </c>
      <c r="C10" s="16"/>
      <c r="E10" s="16"/>
      <c r="F10" s="16"/>
    </row>
    <row r="11" spans="1:17" s="27" customFormat="1" ht="25.5">
      <c r="A11" s="28" t="s">
        <v>31</v>
      </c>
      <c r="B11" s="22" t="s">
        <v>32</v>
      </c>
      <c r="C11" s="22"/>
      <c r="D11" s="23">
        <v>44623</v>
      </c>
      <c r="E11" s="23">
        <v>45718</v>
      </c>
      <c r="F11" s="22" t="s">
        <v>50</v>
      </c>
      <c r="G11" s="23" t="s">
        <v>33</v>
      </c>
      <c r="H11" s="24"/>
      <c r="I11" s="25">
        <f>O11</f>
        <v>209.66</v>
      </c>
      <c r="J11" s="24"/>
      <c r="K11" s="25">
        <v>209.66</v>
      </c>
      <c r="L11" s="25">
        <v>0</v>
      </c>
      <c r="M11" s="25">
        <v>0</v>
      </c>
      <c r="N11" s="25">
        <v>0</v>
      </c>
      <c r="O11" s="26">
        <f>SUM(K11:N11)</f>
        <v>209.66</v>
      </c>
    </row>
    <row r="12" spans="1:17" s="27" customFormat="1" ht="25.5">
      <c r="A12" s="28" t="s">
        <v>72</v>
      </c>
      <c r="B12" s="22" t="s">
        <v>73</v>
      </c>
      <c r="C12" s="22"/>
      <c r="D12" s="23">
        <v>44623</v>
      </c>
      <c r="E12" s="22" t="s">
        <v>74</v>
      </c>
      <c r="F12" s="22" t="s">
        <v>50</v>
      </c>
      <c r="G12" s="23" t="s">
        <v>75</v>
      </c>
      <c r="H12" s="24"/>
      <c r="I12" s="25">
        <f>O12</f>
        <v>2537.5700000000002</v>
      </c>
      <c r="J12" s="24"/>
      <c r="K12" s="25">
        <v>2537.5700000000002</v>
      </c>
      <c r="L12" s="25">
        <v>0</v>
      </c>
      <c r="M12" s="25">
        <v>0</v>
      </c>
      <c r="N12" s="25">
        <v>0</v>
      </c>
      <c r="O12" s="26">
        <f>SUM(K12:N12)</f>
        <v>2537.5700000000002</v>
      </c>
    </row>
    <row r="13" spans="1:17" ht="33.75" customHeight="1">
      <c r="A13" s="60" t="s">
        <v>107</v>
      </c>
      <c r="B13" s="42" t="s">
        <v>101</v>
      </c>
      <c r="C13" s="32"/>
      <c r="D13" s="33">
        <v>45292</v>
      </c>
      <c r="E13" s="44">
        <v>45657</v>
      </c>
      <c r="F13" s="22" t="s">
        <v>50</v>
      </c>
      <c r="G13" s="42"/>
      <c r="H13" s="42"/>
      <c r="I13" s="43">
        <v>0</v>
      </c>
      <c r="J13" s="42"/>
      <c r="K13" s="42"/>
      <c r="L13" s="42"/>
      <c r="M13" s="42"/>
      <c r="N13" s="42"/>
      <c r="O13" s="49"/>
      <c r="P13" s="68"/>
    </row>
    <row r="14" spans="1:17" ht="35.25" customHeight="1">
      <c r="A14" s="60" t="s">
        <v>113</v>
      </c>
      <c r="B14" s="60" t="s">
        <v>130</v>
      </c>
      <c r="C14" s="42"/>
      <c r="D14" s="32"/>
      <c r="E14" s="33"/>
      <c r="F14" s="44"/>
      <c r="G14" s="22"/>
      <c r="H14" s="42"/>
      <c r="I14" s="42">
        <v>337.33</v>
      </c>
      <c r="J14" s="43"/>
      <c r="K14" s="42">
        <v>337.33</v>
      </c>
      <c r="L14" s="42"/>
      <c r="M14" s="42"/>
      <c r="N14" s="42"/>
      <c r="O14" s="49"/>
      <c r="P14" s="68"/>
    </row>
    <row r="15" spans="1:17" ht="70.5" customHeight="1">
      <c r="A15" s="60" t="s">
        <v>119</v>
      </c>
      <c r="B15" s="60"/>
      <c r="C15" s="42"/>
      <c r="D15" s="32"/>
      <c r="E15" s="33"/>
      <c r="F15" s="44"/>
      <c r="G15" s="22"/>
      <c r="H15" s="42"/>
      <c r="I15" s="42"/>
      <c r="J15" s="43"/>
      <c r="K15" s="42"/>
      <c r="L15" s="42"/>
      <c r="M15" s="42"/>
      <c r="N15" s="42"/>
      <c r="O15" s="49"/>
      <c r="P15" s="68"/>
    </row>
    <row r="16" spans="1:17" ht="70.5" customHeight="1">
      <c r="A16" s="60" t="s">
        <v>120</v>
      </c>
      <c r="B16" s="22" t="s">
        <v>73</v>
      </c>
      <c r="C16" s="42"/>
      <c r="D16" s="32"/>
      <c r="E16" s="33"/>
      <c r="F16" s="44"/>
      <c r="G16" s="22"/>
      <c r="H16" s="42"/>
      <c r="I16" s="43">
        <v>350</v>
      </c>
      <c r="J16" s="43"/>
      <c r="K16" s="42"/>
      <c r="L16" s="42"/>
      <c r="M16" s="42"/>
      <c r="N16" s="42"/>
      <c r="O16" s="49"/>
      <c r="P16" s="61"/>
      <c r="Q16" s="63"/>
    </row>
    <row r="17" spans="1:15" s="27" customFormat="1" ht="25.5">
      <c r="A17" s="28" t="s">
        <v>23</v>
      </c>
      <c r="B17" s="22" t="s">
        <v>24</v>
      </c>
      <c r="C17" s="22"/>
      <c r="D17" s="23">
        <v>44652</v>
      </c>
      <c r="E17" s="23">
        <v>45747</v>
      </c>
      <c r="F17" s="22" t="s">
        <v>50</v>
      </c>
      <c r="G17" s="22" t="s">
        <v>25</v>
      </c>
      <c r="H17" s="24"/>
      <c r="I17" s="25">
        <f>O17</f>
        <v>331.2</v>
      </c>
      <c r="J17" s="24"/>
      <c r="K17" s="25">
        <v>331.2</v>
      </c>
      <c r="L17" s="25"/>
      <c r="M17" s="25"/>
      <c r="N17" s="25"/>
      <c r="O17" s="26">
        <f>SUM(K17:N17)</f>
        <v>331.2</v>
      </c>
    </row>
    <row r="18" spans="1:15" ht="33.75" customHeight="1">
      <c r="A18" s="60" t="s">
        <v>104</v>
      </c>
      <c r="B18" s="42"/>
      <c r="C18" s="32"/>
      <c r="D18" s="33"/>
      <c r="E18" s="44"/>
      <c r="F18" s="22"/>
      <c r="G18" s="42"/>
      <c r="H18" s="42"/>
      <c r="I18" s="43"/>
      <c r="J18" s="42"/>
      <c r="K18" s="42"/>
      <c r="L18" s="42"/>
      <c r="M18" s="42"/>
      <c r="N18" s="42"/>
      <c r="O18" s="49"/>
    </row>
    <row r="19" spans="1:15" ht="33.75" customHeight="1">
      <c r="A19" s="60" t="s">
        <v>105</v>
      </c>
      <c r="B19" s="22" t="s">
        <v>73</v>
      </c>
      <c r="C19" s="32"/>
      <c r="D19" s="33"/>
      <c r="E19" s="44"/>
      <c r="F19" s="22"/>
      <c r="G19" s="42"/>
      <c r="H19" s="42"/>
      <c r="I19" s="43">
        <v>420</v>
      </c>
      <c r="J19" s="42"/>
      <c r="K19" s="42"/>
      <c r="L19" s="42"/>
      <c r="M19" s="42"/>
      <c r="N19" s="42"/>
      <c r="O19" s="49"/>
    </row>
    <row r="20" spans="1:15" ht="51" customHeight="1">
      <c r="A20" s="65" t="s">
        <v>128</v>
      </c>
      <c r="B20" s="42"/>
      <c r="C20" s="32"/>
      <c r="D20" s="33"/>
      <c r="E20" s="44"/>
      <c r="F20" s="22"/>
      <c r="G20" s="42"/>
      <c r="H20" s="42"/>
      <c r="I20" s="43"/>
      <c r="J20" s="42"/>
      <c r="K20" s="42"/>
      <c r="L20" s="42"/>
      <c r="M20" s="42"/>
      <c r="N20" s="42"/>
      <c r="O20" s="49"/>
    </row>
    <row r="21" spans="1:15" s="9" customFormat="1" ht="18.75" customHeight="1">
      <c r="A21" s="13" t="s">
        <v>52</v>
      </c>
      <c r="B21" s="5"/>
      <c r="C21" s="5"/>
      <c r="D21" s="6"/>
      <c r="E21" s="6"/>
      <c r="F21" s="5"/>
      <c r="G21" s="5"/>
      <c r="H21" s="10"/>
      <c r="I21" s="11"/>
      <c r="J21" s="10"/>
      <c r="K21" s="11"/>
      <c r="L21" s="11"/>
      <c r="M21" s="11"/>
      <c r="N21" s="11"/>
      <c r="O21" s="12"/>
    </row>
    <row r="22" spans="1:15" s="27" customFormat="1" ht="30" customHeight="1">
      <c r="A22" s="28" t="s">
        <v>27</v>
      </c>
      <c r="B22" s="22" t="s">
        <v>28</v>
      </c>
      <c r="C22" s="22"/>
      <c r="D22" s="23">
        <v>44927</v>
      </c>
      <c r="E22" s="23">
        <v>45291</v>
      </c>
      <c r="F22" s="22" t="s">
        <v>50</v>
      </c>
      <c r="G22" s="22"/>
      <c r="H22" s="24"/>
      <c r="I22" s="25">
        <f>O22</f>
        <v>24976.799999999999</v>
      </c>
      <c r="J22" s="24"/>
      <c r="K22" s="25">
        <v>13914</v>
      </c>
      <c r="L22" s="25">
        <v>11062.8</v>
      </c>
      <c r="M22" s="25">
        <v>0</v>
      </c>
      <c r="N22" s="25">
        <v>0</v>
      </c>
      <c r="O22" s="26">
        <f>SUM(K22:N22)</f>
        <v>24976.799999999999</v>
      </c>
    </row>
    <row r="23" spans="1:15" s="27" customFormat="1" ht="30" customHeight="1">
      <c r="A23" s="28"/>
      <c r="B23" s="22"/>
      <c r="C23" s="22"/>
      <c r="D23" s="23"/>
      <c r="E23" s="23"/>
      <c r="F23" s="22"/>
      <c r="G23" s="22"/>
      <c r="H23" s="24"/>
      <c r="I23" s="25"/>
      <c r="J23" s="24"/>
      <c r="K23" s="25"/>
      <c r="L23" s="25"/>
      <c r="M23" s="25"/>
      <c r="N23" s="25"/>
      <c r="O23" s="26"/>
    </row>
    <row r="24" spans="1:15" s="27" customFormat="1" ht="27" customHeight="1">
      <c r="A24" s="28" t="s">
        <v>117</v>
      </c>
      <c r="B24" s="22" t="s">
        <v>29</v>
      </c>
      <c r="C24" s="22"/>
      <c r="D24" s="23">
        <v>44927</v>
      </c>
      <c r="E24" s="23">
        <v>46022</v>
      </c>
      <c r="F24" s="22" t="s">
        <v>50</v>
      </c>
      <c r="G24" s="22" t="s">
        <v>30</v>
      </c>
      <c r="H24" s="24"/>
      <c r="I24" s="25">
        <f>O24</f>
        <v>2715</v>
      </c>
      <c r="J24" s="24"/>
      <c r="K24" s="25">
        <v>615</v>
      </c>
      <c r="L24" s="25">
        <v>615</v>
      </c>
      <c r="M24" s="25">
        <v>615</v>
      </c>
      <c r="N24" s="25">
        <v>870</v>
      </c>
      <c r="O24" s="26">
        <f t="shared" ref="O24:O30" si="0">SUM(K24:N24)</f>
        <v>2715</v>
      </c>
    </row>
    <row r="25" spans="1:15" s="27" customFormat="1" ht="45.75" customHeight="1">
      <c r="A25" s="28" t="s">
        <v>116</v>
      </c>
      <c r="B25" s="22"/>
      <c r="C25" s="22"/>
      <c r="D25" s="23"/>
      <c r="E25" s="23"/>
      <c r="F25" s="22"/>
      <c r="G25" s="22"/>
      <c r="H25" s="24"/>
      <c r="I25" s="25"/>
      <c r="J25" s="24"/>
      <c r="K25" s="25"/>
      <c r="L25" s="25"/>
      <c r="M25" s="25"/>
      <c r="N25" s="25"/>
      <c r="O25" s="26"/>
    </row>
    <row r="26" spans="1:15" s="27" customFormat="1" ht="43.5" customHeight="1">
      <c r="A26" s="28" t="s">
        <v>115</v>
      </c>
      <c r="B26" s="22" t="s">
        <v>131</v>
      </c>
      <c r="C26" s="22"/>
      <c r="D26" s="23"/>
      <c r="E26" s="23"/>
      <c r="F26" s="22"/>
      <c r="G26" s="22"/>
      <c r="H26" s="24"/>
      <c r="I26" s="25">
        <v>513.22</v>
      </c>
      <c r="J26" s="24"/>
      <c r="K26" s="25"/>
      <c r="L26" s="25"/>
      <c r="M26" s="25"/>
      <c r="N26" s="25"/>
      <c r="O26" s="26"/>
    </row>
    <row r="27" spans="1:15" s="27" customFormat="1" ht="43.5" customHeight="1">
      <c r="A27" s="28" t="s">
        <v>118</v>
      </c>
      <c r="B27" s="22" t="s">
        <v>131</v>
      </c>
      <c r="C27" s="22"/>
      <c r="D27" s="23"/>
      <c r="E27" s="23"/>
      <c r="F27" s="22"/>
      <c r="G27" s="22"/>
      <c r="H27" s="24"/>
      <c r="I27" s="25">
        <v>1731.04</v>
      </c>
      <c r="J27" s="24"/>
      <c r="K27" s="25"/>
      <c r="L27" s="25"/>
      <c r="M27" s="25"/>
      <c r="N27" s="25"/>
      <c r="O27" s="26"/>
    </row>
    <row r="28" spans="1:15" s="27" customFormat="1" ht="25.5">
      <c r="A28" s="28" t="s">
        <v>19</v>
      </c>
      <c r="B28" s="22" t="s">
        <v>20</v>
      </c>
      <c r="C28" s="22"/>
      <c r="D28" s="23">
        <v>44551</v>
      </c>
      <c r="E28" s="23">
        <v>45646</v>
      </c>
      <c r="F28" s="22" t="s">
        <v>50</v>
      </c>
      <c r="G28" s="22" t="s">
        <v>26</v>
      </c>
      <c r="H28" s="24"/>
      <c r="I28" s="25">
        <f t="shared" ref="I28:I30" si="1">O28</f>
        <v>123.06</v>
      </c>
      <c r="J28" s="24"/>
      <c r="K28" s="25">
        <v>123.06</v>
      </c>
      <c r="L28" s="25"/>
      <c r="M28" s="25"/>
      <c r="N28" s="25"/>
      <c r="O28" s="26">
        <f t="shared" si="0"/>
        <v>123.06</v>
      </c>
    </row>
    <row r="29" spans="1:15" ht="26.25" customHeight="1">
      <c r="A29" s="15" t="s">
        <v>85</v>
      </c>
      <c r="B29" s="32" t="s">
        <v>86</v>
      </c>
      <c r="C29" s="32"/>
      <c r="D29" s="44">
        <v>44896</v>
      </c>
      <c r="E29" s="45">
        <v>45260</v>
      </c>
      <c r="F29" s="22" t="s">
        <v>50</v>
      </c>
      <c r="G29" s="42"/>
      <c r="H29" s="42"/>
      <c r="I29" s="25">
        <f t="shared" si="1"/>
        <v>435.6</v>
      </c>
      <c r="J29" s="42"/>
      <c r="K29" s="42">
        <v>435.6</v>
      </c>
      <c r="L29" s="42"/>
      <c r="M29" s="42"/>
      <c r="N29" s="42"/>
      <c r="O29" s="26">
        <f t="shared" si="0"/>
        <v>435.6</v>
      </c>
    </row>
    <row r="30" spans="1:15" s="9" customFormat="1" ht="25.5">
      <c r="A30" s="7" t="s">
        <v>53</v>
      </c>
      <c r="B30" s="17" t="s">
        <v>54</v>
      </c>
      <c r="C30" s="5"/>
      <c r="D30" s="6">
        <v>44562</v>
      </c>
      <c r="E30" s="6">
        <v>46022</v>
      </c>
      <c r="F30" s="5"/>
      <c r="G30" s="6" t="s">
        <v>55</v>
      </c>
      <c r="H30" s="10"/>
      <c r="I30" s="25">
        <f t="shared" si="1"/>
        <v>0</v>
      </c>
      <c r="J30" s="10"/>
      <c r="K30" s="11"/>
      <c r="L30" s="11"/>
      <c r="M30" s="11"/>
      <c r="N30" s="11"/>
      <c r="O30" s="26">
        <f t="shared" si="0"/>
        <v>0</v>
      </c>
    </row>
    <row r="31" spans="1:15" s="9" customFormat="1" ht="33" customHeight="1">
      <c r="A31" s="7" t="s">
        <v>140</v>
      </c>
      <c r="B31" s="17" t="s">
        <v>141</v>
      </c>
      <c r="C31" s="5"/>
      <c r="D31" s="6"/>
      <c r="E31" s="6"/>
      <c r="F31" s="5"/>
      <c r="G31" s="6"/>
      <c r="H31" s="10"/>
      <c r="I31" s="25">
        <v>249.6</v>
      </c>
      <c r="J31" s="10"/>
      <c r="K31" s="11"/>
      <c r="L31" s="11"/>
      <c r="M31" s="11"/>
      <c r="N31" s="11"/>
      <c r="O31" s="26"/>
    </row>
    <row r="32" spans="1:15" s="9" customFormat="1" ht="24" customHeight="1">
      <c r="A32" s="13" t="s">
        <v>49</v>
      </c>
      <c r="B32" s="5"/>
      <c r="C32" s="5"/>
      <c r="D32" s="6"/>
      <c r="E32" s="6"/>
      <c r="F32" s="5"/>
      <c r="G32" s="6"/>
      <c r="H32" s="10"/>
      <c r="I32" s="11"/>
      <c r="J32" s="10"/>
      <c r="K32" s="11"/>
      <c r="L32" s="11"/>
      <c r="M32" s="11"/>
      <c r="N32" s="11"/>
      <c r="O32" s="12"/>
    </row>
    <row r="33" spans="1:15" s="27" customFormat="1" ht="34.5" customHeight="1">
      <c r="A33" s="21" t="s">
        <v>36</v>
      </c>
      <c r="B33" s="22" t="s">
        <v>37</v>
      </c>
      <c r="C33" s="22" t="s">
        <v>51</v>
      </c>
      <c r="D33" s="23">
        <v>44378</v>
      </c>
      <c r="E33" s="23">
        <v>45838</v>
      </c>
      <c r="F33" s="22" t="s">
        <v>50</v>
      </c>
      <c r="G33" s="22" t="s">
        <v>38</v>
      </c>
      <c r="H33" s="24"/>
      <c r="I33" s="25"/>
      <c r="J33" s="24"/>
      <c r="K33" s="25"/>
      <c r="L33" s="25"/>
      <c r="M33" s="25"/>
      <c r="N33" s="25"/>
      <c r="O33" s="26"/>
    </row>
    <row r="34" spans="1:15" s="27" customFormat="1" ht="34.5" customHeight="1">
      <c r="A34" s="28" t="s">
        <v>39</v>
      </c>
      <c r="B34" s="22" t="s">
        <v>40</v>
      </c>
      <c r="C34" s="22" t="s">
        <v>51</v>
      </c>
      <c r="D34" s="23">
        <v>44562</v>
      </c>
      <c r="E34" s="23">
        <v>45657</v>
      </c>
      <c r="F34" s="22" t="s">
        <v>50</v>
      </c>
      <c r="G34" s="22" t="s">
        <v>41</v>
      </c>
      <c r="H34" s="24"/>
      <c r="I34" s="25"/>
      <c r="J34" s="24"/>
      <c r="K34" s="25"/>
      <c r="L34" s="25"/>
      <c r="M34" s="25"/>
      <c r="N34" s="25"/>
      <c r="O34" s="26"/>
    </row>
    <row r="35" spans="1:15" s="27" customFormat="1" ht="34.5" customHeight="1">
      <c r="A35" s="28" t="s">
        <v>39</v>
      </c>
      <c r="B35" s="22"/>
      <c r="C35" s="22" t="s">
        <v>51</v>
      </c>
      <c r="D35" s="23">
        <v>45658</v>
      </c>
      <c r="E35" s="23">
        <v>46752</v>
      </c>
      <c r="F35" s="22" t="s">
        <v>50</v>
      </c>
      <c r="G35" s="22"/>
      <c r="H35" s="24"/>
      <c r="I35" s="25"/>
      <c r="J35" s="24"/>
      <c r="K35" s="25"/>
      <c r="L35" s="25"/>
      <c r="M35" s="25"/>
      <c r="N35" s="25"/>
      <c r="O35" s="26"/>
    </row>
    <row r="36" spans="1:15" s="27" customFormat="1" ht="34.5" customHeight="1">
      <c r="A36" s="28"/>
      <c r="B36" s="22"/>
      <c r="C36" s="22"/>
      <c r="D36" s="23"/>
      <c r="E36" s="23"/>
      <c r="F36" s="22"/>
      <c r="G36" s="22"/>
      <c r="H36" s="24"/>
      <c r="I36" s="25"/>
      <c r="J36" s="24"/>
      <c r="K36" s="25"/>
      <c r="L36" s="25"/>
      <c r="M36" s="25"/>
      <c r="N36" s="25"/>
      <c r="O36" s="26"/>
    </row>
    <row r="37" spans="1:15" s="27" customFormat="1" ht="34.5" customHeight="1">
      <c r="A37" s="28"/>
      <c r="B37" s="22"/>
      <c r="C37" s="22"/>
      <c r="D37" s="23"/>
      <c r="E37" s="23"/>
      <c r="F37" s="22"/>
      <c r="G37" s="22"/>
      <c r="H37" s="24"/>
      <c r="I37" s="25"/>
      <c r="J37" s="24"/>
      <c r="K37" s="25"/>
      <c r="L37" s="25"/>
      <c r="M37" s="25"/>
      <c r="N37" s="25"/>
      <c r="O37" s="26"/>
    </row>
    <row r="38" spans="1:15" s="27" customFormat="1" ht="34.5" customHeight="1">
      <c r="A38" s="28" t="s">
        <v>93</v>
      </c>
      <c r="B38" s="22" t="s">
        <v>94</v>
      </c>
      <c r="C38" s="22"/>
      <c r="D38" s="23">
        <v>44627</v>
      </c>
      <c r="E38" s="23">
        <v>45722</v>
      </c>
      <c r="F38" s="22" t="s">
        <v>50</v>
      </c>
      <c r="G38" s="22" t="s">
        <v>95</v>
      </c>
      <c r="H38" s="24"/>
      <c r="I38" s="25">
        <v>463.2</v>
      </c>
      <c r="J38" s="24"/>
      <c r="K38" s="25">
        <v>463.2</v>
      </c>
      <c r="L38" s="25">
        <v>0</v>
      </c>
      <c r="M38" s="25">
        <v>0</v>
      </c>
      <c r="N38" s="25">
        <v>0</v>
      </c>
      <c r="O38" s="26">
        <f>SUM(K38:N38)</f>
        <v>463.2</v>
      </c>
    </row>
    <row r="39" spans="1:15" s="27" customFormat="1" ht="30" customHeight="1">
      <c r="A39" s="21" t="s">
        <v>42</v>
      </c>
      <c r="B39" s="29" t="s">
        <v>43</v>
      </c>
      <c r="C39" s="22"/>
      <c r="D39" s="23">
        <v>44214</v>
      </c>
      <c r="E39" s="23">
        <v>45107</v>
      </c>
      <c r="F39" s="23">
        <v>45473</v>
      </c>
      <c r="G39" s="22" t="s">
        <v>44</v>
      </c>
      <c r="H39" s="24"/>
      <c r="I39" s="25"/>
      <c r="J39" s="24"/>
      <c r="K39" s="25"/>
      <c r="L39" s="25"/>
      <c r="M39" s="25"/>
      <c r="N39" s="25"/>
      <c r="O39" s="26"/>
    </row>
    <row r="40" spans="1:15" s="27" customFormat="1" ht="25.5">
      <c r="A40" s="28" t="s">
        <v>22</v>
      </c>
      <c r="B40" s="22" t="s">
        <v>35</v>
      </c>
      <c r="C40" s="22"/>
      <c r="D40" s="23">
        <v>44522</v>
      </c>
      <c r="E40" s="23">
        <v>45617</v>
      </c>
      <c r="F40" s="22" t="s">
        <v>50</v>
      </c>
      <c r="G40" s="22" t="s">
        <v>34</v>
      </c>
      <c r="H40" s="24"/>
      <c r="I40" s="25">
        <v>714.38</v>
      </c>
      <c r="J40" s="24"/>
      <c r="K40" s="25">
        <v>714.38</v>
      </c>
      <c r="L40" s="25">
        <v>0</v>
      </c>
      <c r="M40" s="25">
        <v>0</v>
      </c>
      <c r="N40" s="25">
        <v>0</v>
      </c>
      <c r="O40" s="26">
        <f>SUM(K40:N40)</f>
        <v>714.38</v>
      </c>
    </row>
    <row r="41" spans="1:15" s="27" customFormat="1" ht="28.5" customHeight="1">
      <c r="A41" s="28" t="s">
        <v>56</v>
      </c>
      <c r="B41" s="22" t="s">
        <v>57</v>
      </c>
      <c r="C41" s="22"/>
      <c r="D41" s="23">
        <v>45259</v>
      </c>
      <c r="E41" s="23">
        <v>46719</v>
      </c>
      <c r="F41" s="22" t="s">
        <v>50</v>
      </c>
      <c r="G41" s="22" t="s">
        <v>58</v>
      </c>
      <c r="H41" s="24"/>
      <c r="I41" s="25"/>
      <c r="J41" s="24"/>
      <c r="K41" s="25"/>
      <c r="L41" s="25"/>
      <c r="M41" s="25"/>
      <c r="N41" s="25"/>
      <c r="O41" s="26"/>
    </row>
    <row r="42" spans="1:15" s="27" customFormat="1" ht="28.5" customHeight="1">
      <c r="A42" s="28" t="s">
        <v>60</v>
      </c>
      <c r="B42" s="22" t="s">
        <v>59</v>
      </c>
      <c r="C42" s="22"/>
      <c r="D42" s="23">
        <v>44927</v>
      </c>
      <c r="E42" s="23">
        <v>38717</v>
      </c>
      <c r="F42" s="22" t="s">
        <v>50</v>
      </c>
      <c r="G42" s="22" t="s">
        <v>61</v>
      </c>
      <c r="H42" s="24"/>
      <c r="I42" s="25"/>
      <c r="J42" s="24"/>
      <c r="K42" s="25"/>
      <c r="L42" s="25"/>
      <c r="M42" s="25"/>
      <c r="N42" s="25"/>
      <c r="O42" s="26"/>
    </row>
    <row r="43" spans="1:15" ht="28.5">
      <c r="A43" s="59" t="s">
        <v>87</v>
      </c>
      <c r="B43" s="32" t="s">
        <v>88</v>
      </c>
      <c r="C43" s="32"/>
      <c r="D43" s="42"/>
      <c r="E43" s="32"/>
      <c r="F43" s="32"/>
      <c r="G43" s="42"/>
      <c r="H43" s="42"/>
      <c r="I43" s="43">
        <v>510</v>
      </c>
      <c r="J43" s="42"/>
      <c r="K43" s="43">
        <v>510</v>
      </c>
      <c r="L43" s="25">
        <v>0</v>
      </c>
      <c r="M43" s="25">
        <v>0</v>
      </c>
      <c r="N43" s="25">
        <v>0</v>
      </c>
      <c r="O43" s="43">
        <f>SUM(K43:N43)</f>
        <v>510</v>
      </c>
    </row>
    <row r="44" spans="1:15" s="9" customFormat="1" ht="24.75" customHeight="1">
      <c r="A44" s="62"/>
      <c r="B44" s="10"/>
      <c r="C44" s="5"/>
      <c r="D44" s="10"/>
      <c r="E44" s="5"/>
      <c r="F44" s="5"/>
      <c r="G44" s="10"/>
      <c r="H44" s="10"/>
      <c r="I44" s="11"/>
      <c r="J44" s="10"/>
      <c r="K44" s="11"/>
      <c r="L44" s="11"/>
      <c r="M44" s="11"/>
      <c r="N44" s="11"/>
      <c r="O44" s="12"/>
    </row>
    <row r="45" spans="1:15" s="9" customFormat="1" ht="30" customHeight="1">
      <c r="A45" s="18" t="s">
        <v>62</v>
      </c>
      <c r="B45" s="10"/>
      <c r="C45" s="5"/>
      <c r="D45" s="10"/>
      <c r="E45" s="5"/>
      <c r="F45" s="5"/>
      <c r="G45" s="10"/>
      <c r="H45" s="10"/>
      <c r="I45" s="11"/>
      <c r="J45" s="10"/>
      <c r="K45" s="11"/>
      <c r="L45" s="11"/>
      <c r="M45" s="11"/>
      <c r="N45" s="11"/>
      <c r="O45" s="12"/>
    </row>
    <row r="46" spans="1:15" s="27" customFormat="1" ht="30" customHeight="1">
      <c r="A46" s="21" t="s">
        <v>17</v>
      </c>
      <c r="B46" s="22" t="s">
        <v>21</v>
      </c>
      <c r="C46" s="22"/>
      <c r="D46" s="23">
        <v>44652</v>
      </c>
      <c r="E46" s="23">
        <v>45747</v>
      </c>
      <c r="F46" s="22" t="s">
        <v>50</v>
      </c>
      <c r="G46" s="23" t="s">
        <v>18</v>
      </c>
      <c r="H46" s="24"/>
      <c r="I46" s="25">
        <f>O46</f>
        <v>1432.3</v>
      </c>
      <c r="J46" s="24"/>
      <c r="K46" s="25">
        <v>1432.3</v>
      </c>
      <c r="L46" s="25">
        <v>0</v>
      </c>
      <c r="M46" s="25">
        <v>0</v>
      </c>
      <c r="N46" s="25">
        <v>0</v>
      </c>
      <c r="O46" s="26">
        <f>SUM(K46:N46)</f>
        <v>1432.3</v>
      </c>
    </row>
    <row r="47" spans="1:15" s="27" customFormat="1" ht="18" customHeight="1">
      <c r="A47" s="28" t="s">
        <v>63</v>
      </c>
      <c r="B47" s="22" t="s">
        <v>45</v>
      </c>
      <c r="C47" s="22"/>
      <c r="D47" s="23">
        <v>44431</v>
      </c>
      <c r="E47" s="23">
        <v>45526</v>
      </c>
      <c r="F47" s="22" t="s">
        <v>50</v>
      </c>
      <c r="G47" s="22" t="s">
        <v>46</v>
      </c>
      <c r="H47" s="24"/>
      <c r="I47" s="25">
        <v>0</v>
      </c>
      <c r="J47" s="24"/>
      <c r="K47" s="25"/>
      <c r="L47" s="25"/>
      <c r="M47" s="25"/>
      <c r="N47" s="25"/>
      <c r="O47" s="26"/>
    </row>
    <row r="48" spans="1:15" s="27" customFormat="1" ht="27" customHeight="1">
      <c r="A48" s="21" t="s">
        <v>64</v>
      </c>
      <c r="B48" s="17" t="s">
        <v>136</v>
      </c>
      <c r="C48" s="22"/>
      <c r="D48" s="24"/>
      <c r="E48" s="22"/>
      <c r="F48" s="22"/>
      <c r="G48" s="24"/>
      <c r="H48" s="24"/>
      <c r="I48" s="11">
        <f>O48</f>
        <v>1341.6</v>
      </c>
      <c r="J48" s="10"/>
      <c r="K48" s="11">
        <v>1341.6</v>
      </c>
      <c r="L48" s="11">
        <v>0</v>
      </c>
      <c r="M48" s="11">
        <v>0</v>
      </c>
      <c r="N48" s="11">
        <v>0</v>
      </c>
      <c r="O48" s="12">
        <f>SUM(K48:N48)</f>
        <v>1341.6</v>
      </c>
    </row>
    <row r="49" spans="1:17" s="27" customFormat="1" ht="25.5" customHeight="1">
      <c r="A49" s="21" t="s">
        <v>77</v>
      </c>
      <c r="B49" s="22" t="s">
        <v>79</v>
      </c>
      <c r="C49" s="22"/>
      <c r="D49" s="31">
        <v>44896</v>
      </c>
      <c r="E49" s="23">
        <v>45260</v>
      </c>
      <c r="F49" s="22" t="s">
        <v>50</v>
      </c>
      <c r="G49" s="22" t="s">
        <v>80</v>
      </c>
      <c r="H49" s="24"/>
      <c r="I49" s="25">
        <v>0</v>
      </c>
      <c r="J49" s="24"/>
      <c r="K49" s="25"/>
      <c r="L49" s="25"/>
      <c r="M49" s="25"/>
      <c r="N49" s="25"/>
      <c r="O49" s="12"/>
    </row>
    <row r="50" spans="1:17" s="9" customFormat="1" ht="30" customHeight="1">
      <c r="A50" s="62" t="s">
        <v>78</v>
      </c>
      <c r="B50" s="5" t="s">
        <v>135</v>
      </c>
      <c r="C50" s="5"/>
      <c r="D50" s="10"/>
      <c r="E50" s="5"/>
      <c r="F50" s="5"/>
      <c r="G50" s="10"/>
      <c r="H50" s="10"/>
      <c r="I50" s="11">
        <v>875.12</v>
      </c>
      <c r="J50" s="10"/>
      <c r="K50" s="11">
        <v>875.12</v>
      </c>
      <c r="L50" s="11">
        <v>0</v>
      </c>
      <c r="M50" s="11">
        <v>0</v>
      </c>
      <c r="N50" s="11">
        <v>0</v>
      </c>
      <c r="O50" s="12">
        <f t="shared" ref="O50:O52" si="2">SUM(K50:N50)</f>
        <v>875.12</v>
      </c>
    </row>
    <row r="51" spans="1:17" s="9" customFormat="1" ht="30" customHeight="1">
      <c r="A51" s="62" t="s">
        <v>132</v>
      </c>
      <c r="B51" s="17" t="s">
        <v>133</v>
      </c>
      <c r="C51" s="5"/>
      <c r="D51" s="10"/>
      <c r="E51" s="5"/>
      <c r="F51" s="5"/>
      <c r="G51" s="10"/>
      <c r="H51" s="10"/>
      <c r="I51" s="11">
        <f>O51</f>
        <v>600</v>
      </c>
      <c r="J51" s="10"/>
      <c r="K51" s="11">
        <v>150</v>
      </c>
      <c r="L51" s="11">
        <v>150</v>
      </c>
      <c r="M51" s="11">
        <v>150</v>
      </c>
      <c r="N51" s="11">
        <v>150</v>
      </c>
      <c r="O51" s="12">
        <f t="shared" si="2"/>
        <v>600</v>
      </c>
    </row>
    <row r="52" spans="1:17" s="9" customFormat="1" ht="30" customHeight="1">
      <c r="A52" s="62" t="s">
        <v>137</v>
      </c>
      <c r="B52" s="17" t="s">
        <v>138</v>
      </c>
      <c r="C52" s="5"/>
      <c r="D52" s="10"/>
      <c r="E52" s="5"/>
      <c r="F52" s="5"/>
      <c r="G52" s="10"/>
      <c r="H52" s="10"/>
      <c r="I52" s="11">
        <f>O52</f>
        <v>443.62</v>
      </c>
      <c r="J52" s="10"/>
      <c r="K52" s="11">
        <v>443.62</v>
      </c>
      <c r="L52" s="11">
        <v>0</v>
      </c>
      <c r="M52" s="11">
        <v>0</v>
      </c>
      <c r="N52" s="11">
        <v>0</v>
      </c>
      <c r="O52" s="12">
        <f t="shared" si="2"/>
        <v>443.62</v>
      </c>
    </row>
    <row r="53" spans="1:17" s="9" customFormat="1" ht="12.75">
      <c r="A53" s="18" t="s">
        <v>65</v>
      </c>
      <c r="B53" s="10"/>
      <c r="C53" s="5"/>
      <c r="D53" s="10"/>
      <c r="E53" s="5"/>
      <c r="F53" s="5"/>
      <c r="G53" s="10"/>
      <c r="H53" s="10"/>
      <c r="I53" s="11"/>
      <c r="J53" s="10"/>
      <c r="K53" s="11"/>
      <c r="L53" s="11"/>
      <c r="M53" s="11"/>
      <c r="N53" s="11"/>
      <c r="O53" s="12"/>
    </row>
    <row r="54" spans="1:17" s="27" customFormat="1" ht="48.75" customHeight="1">
      <c r="A54" s="28" t="s">
        <v>68</v>
      </c>
      <c r="B54" s="22" t="s">
        <v>66</v>
      </c>
      <c r="C54" s="22"/>
      <c r="D54" s="23">
        <v>44805</v>
      </c>
      <c r="E54" s="23">
        <v>45900</v>
      </c>
      <c r="F54" s="22" t="s">
        <v>50</v>
      </c>
      <c r="G54" s="22" t="s">
        <v>47</v>
      </c>
      <c r="H54" s="24"/>
      <c r="I54" s="67">
        <v>1499.22</v>
      </c>
      <c r="J54" s="24"/>
      <c r="K54" s="25"/>
      <c r="L54" s="25"/>
      <c r="M54" s="25"/>
      <c r="N54" s="25"/>
      <c r="O54" s="26"/>
      <c r="Q54" s="67"/>
    </row>
    <row r="55" spans="1:17" s="27" customFormat="1" ht="47.25" customHeight="1">
      <c r="A55" s="28" t="s">
        <v>102</v>
      </c>
      <c r="B55" s="22" t="s">
        <v>66</v>
      </c>
      <c r="C55" s="22"/>
      <c r="D55" s="23">
        <v>45292</v>
      </c>
      <c r="E55" s="23">
        <v>45657</v>
      </c>
      <c r="F55" s="29" t="s">
        <v>67</v>
      </c>
      <c r="G55" s="24"/>
      <c r="H55" s="24"/>
      <c r="I55" s="25">
        <v>744</v>
      </c>
      <c r="J55" s="24"/>
      <c r="K55" s="25"/>
      <c r="L55" s="25"/>
      <c r="M55" s="25"/>
      <c r="N55" s="25"/>
      <c r="O55" s="26"/>
    </row>
    <row r="56" spans="1:17" s="27" customFormat="1" ht="30" customHeight="1">
      <c r="A56" s="34" t="s">
        <v>69</v>
      </c>
      <c r="B56" s="36" t="s">
        <v>70</v>
      </c>
      <c r="C56" s="36"/>
      <c r="D56" s="37">
        <v>45292</v>
      </c>
      <c r="E56" s="37">
        <v>45657</v>
      </c>
      <c r="F56" s="38" t="s">
        <v>67</v>
      </c>
      <c r="G56" s="35"/>
      <c r="H56" s="35"/>
      <c r="I56" s="25">
        <v>505.56</v>
      </c>
      <c r="J56" s="35"/>
      <c r="K56" s="39"/>
      <c r="L56" s="39"/>
      <c r="M56" s="39"/>
      <c r="N56" s="39"/>
      <c r="O56" s="40"/>
    </row>
    <row r="57" spans="1:17" s="27" customFormat="1" ht="37.5" customHeight="1">
      <c r="A57" s="29" t="s">
        <v>82</v>
      </c>
      <c r="B57" s="41" t="s">
        <v>81</v>
      </c>
      <c r="C57" s="22"/>
      <c r="D57" s="23">
        <v>45292</v>
      </c>
      <c r="E57" s="23">
        <v>45657</v>
      </c>
      <c r="F57" s="29"/>
      <c r="G57" s="24"/>
      <c r="H57" s="24"/>
      <c r="I57" s="25">
        <v>314.56</v>
      </c>
      <c r="J57" s="24"/>
      <c r="K57" s="25"/>
      <c r="L57" s="39"/>
      <c r="M57" s="39"/>
      <c r="N57" s="39"/>
      <c r="O57" s="39"/>
      <c r="Q57" s="67"/>
    </row>
    <row r="58" spans="1:17" s="27" customFormat="1" ht="37.5" customHeight="1">
      <c r="A58" s="29" t="s">
        <v>139</v>
      </c>
      <c r="B58" s="41"/>
      <c r="C58" s="22"/>
      <c r="D58" s="23">
        <v>45292</v>
      </c>
      <c r="E58" s="23">
        <v>45657</v>
      </c>
      <c r="F58" s="29"/>
      <c r="G58" s="24"/>
      <c r="H58" s="24"/>
      <c r="I58" s="25">
        <v>366.05</v>
      </c>
      <c r="J58" s="24"/>
      <c r="K58" s="25"/>
      <c r="L58" s="25"/>
      <c r="M58" s="25"/>
      <c r="N58" s="25"/>
      <c r="O58" s="25"/>
    </row>
    <row r="59" spans="1:17" s="27" customFormat="1" ht="37.5" customHeight="1">
      <c r="A59" s="29" t="s">
        <v>83</v>
      </c>
      <c r="B59" s="41" t="s">
        <v>84</v>
      </c>
      <c r="C59" s="22"/>
      <c r="D59" s="23"/>
      <c r="E59" s="23"/>
      <c r="F59" s="29"/>
      <c r="G59" s="24"/>
      <c r="H59" s="24"/>
      <c r="I59" s="25">
        <v>58.8</v>
      </c>
      <c r="J59" s="24"/>
      <c r="K59" s="25">
        <v>58.8</v>
      </c>
      <c r="L59" s="25">
        <v>0</v>
      </c>
      <c r="M59" s="25">
        <v>0</v>
      </c>
      <c r="N59" s="25">
        <v>0</v>
      </c>
      <c r="O59" s="25"/>
    </row>
    <row r="63" spans="1:17" s="9" customFormat="1" ht="12.75">
      <c r="A63" s="19" t="s">
        <v>89</v>
      </c>
      <c r="C63" s="16"/>
      <c r="E63" s="16"/>
      <c r="F63" s="16"/>
    </row>
    <row r="64" spans="1:17" s="27" customFormat="1" ht="25.5">
      <c r="A64" s="28" t="s">
        <v>90</v>
      </c>
      <c r="B64" s="29" t="s">
        <v>91</v>
      </c>
      <c r="C64" s="22"/>
      <c r="D64" s="129" t="s">
        <v>92</v>
      </c>
      <c r="E64" s="130"/>
      <c r="F64" s="22" t="s">
        <v>50</v>
      </c>
      <c r="G64" s="23"/>
      <c r="H64" s="24"/>
      <c r="I64" s="25"/>
      <c r="J64" s="24"/>
      <c r="K64" s="25"/>
      <c r="L64" s="25"/>
      <c r="M64" s="25"/>
      <c r="N64" s="25"/>
      <c r="O64" s="26"/>
    </row>
    <row r="65" spans="1:15" s="9" customFormat="1" ht="34.5" customHeight="1">
      <c r="A65" s="17" t="s">
        <v>142</v>
      </c>
      <c r="B65" s="10"/>
      <c r="C65" s="5"/>
      <c r="D65" s="10"/>
      <c r="E65" s="5"/>
      <c r="F65" s="5"/>
      <c r="G65" s="10"/>
      <c r="H65" s="10"/>
      <c r="I65" s="10">
        <v>996.91</v>
      </c>
      <c r="J65" s="10"/>
      <c r="K65" s="10"/>
      <c r="L65" s="10"/>
      <c r="M65" s="10"/>
      <c r="N65" s="10"/>
      <c r="O65" s="10"/>
    </row>
    <row r="66" spans="1:15" s="9" customFormat="1" ht="12.75">
      <c r="A66" s="16"/>
      <c r="C66" s="16"/>
      <c r="E66" s="16"/>
      <c r="F66" s="16"/>
    </row>
    <row r="67" spans="1:15" s="9" customFormat="1" ht="12.75">
      <c r="A67" s="16"/>
      <c r="C67" s="16"/>
      <c r="E67" s="16"/>
      <c r="F67" s="16"/>
    </row>
    <row r="68" spans="1:15" s="9" customFormat="1" ht="12.75">
      <c r="A68" s="5" t="s">
        <v>96</v>
      </c>
      <c r="B68" s="10" t="s">
        <v>20</v>
      </c>
      <c r="C68" s="5" t="s">
        <v>51</v>
      </c>
      <c r="D68" s="10" t="s">
        <v>97</v>
      </c>
      <c r="E68" s="5" t="s">
        <v>98</v>
      </c>
      <c r="F68" s="22" t="s">
        <v>50</v>
      </c>
      <c r="G68" s="10" t="s">
        <v>99</v>
      </c>
      <c r="H68" s="10"/>
      <c r="I68" s="10"/>
      <c r="J68" s="10"/>
      <c r="K68" s="10"/>
      <c r="L68" s="10"/>
      <c r="M68" s="10"/>
      <c r="N68" s="10"/>
      <c r="O68" s="10"/>
    </row>
    <row r="69" spans="1:15" s="9" customFormat="1" ht="12.75">
      <c r="A69" s="16"/>
      <c r="C69" s="16"/>
      <c r="E69" s="16"/>
      <c r="F69" s="16"/>
    </row>
    <row r="70" spans="1:15" s="9" customFormat="1" ht="12.75">
      <c r="A70" s="16"/>
      <c r="C70" s="16"/>
      <c r="E70" s="16"/>
      <c r="F70" s="16"/>
    </row>
    <row r="71" spans="1:15" s="9" customFormat="1" ht="12.75">
      <c r="A71" s="16"/>
      <c r="C71" s="16"/>
      <c r="E71" s="16"/>
      <c r="F71" s="16"/>
    </row>
    <row r="72" spans="1:15" s="9" customFormat="1" ht="12.75">
      <c r="A72" s="16"/>
      <c r="C72" s="16"/>
      <c r="E72" s="16"/>
      <c r="F72" s="16"/>
    </row>
    <row r="73" spans="1:15" s="9" customFormat="1" ht="12.75">
      <c r="A73" s="16"/>
      <c r="C73" s="16"/>
      <c r="E73" s="16"/>
      <c r="F73" s="16"/>
    </row>
    <row r="74" spans="1:15" s="9" customFormat="1" ht="12.75">
      <c r="A74" s="16"/>
      <c r="C74" s="16"/>
      <c r="E74" s="16"/>
      <c r="F74" s="16"/>
    </row>
    <row r="75" spans="1:15" s="9" customFormat="1" ht="12.75">
      <c r="A75" s="16"/>
      <c r="C75" s="16"/>
      <c r="E75" s="16"/>
      <c r="F75" s="16"/>
    </row>
    <row r="76" spans="1:15" s="9" customFormat="1" ht="12.75">
      <c r="A76" s="16"/>
      <c r="C76" s="16"/>
      <c r="E76" s="16"/>
      <c r="F76" s="16"/>
    </row>
    <row r="77" spans="1:15" s="9" customFormat="1" ht="12.75">
      <c r="A77" s="16"/>
      <c r="C77" s="16"/>
      <c r="E77" s="16"/>
      <c r="F77" s="16"/>
    </row>
    <row r="78" spans="1:15" s="9" customFormat="1" ht="12.75">
      <c r="A78" s="16"/>
      <c r="C78" s="16"/>
      <c r="E78" s="16"/>
      <c r="F78" s="16"/>
    </row>
    <row r="79" spans="1:15" s="9" customFormat="1" ht="12.75">
      <c r="A79" s="16"/>
      <c r="C79" s="16"/>
      <c r="E79" s="16"/>
      <c r="F79" s="16"/>
    </row>
    <row r="80" spans="1:15" s="9" customFormat="1" ht="12.75">
      <c r="A80" s="16"/>
      <c r="C80" s="16"/>
      <c r="E80" s="16"/>
      <c r="F80" s="16"/>
    </row>
    <row r="81" spans="1:6" s="9" customFormat="1" ht="12.75">
      <c r="A81" s="16"/>
      <c r="C81" s="16"/>
      <c r="E81" s="16"/>
      <c r="F81" s="16"/>
    </row>
    <row r="82" spans="1:6" s="9" customFormat="1" ht="12.75">
      <c r="A82" s="16"/>
      <c r="C82" s="16"/>
      <c r="E82" s="16"/>
      <c r="F82" s="16"/>
    </row>
    <row r="83" spans="1:6" s="9" customFormat="1" ht="12.75">
      <c r="A83" s="16"/>
      <c r="C83" s="16"/>
      <c r="E83" s="16"/>
      <c r="F83" s="16"/>
    </row>
    <row r="84" spans="1:6" s="9" customFormat="1" ht="12.75">
      <c r="A84" s="16"/>
      <c r="C84" s="16"/>
      <c r="E84" s="16"/>
      <c r="F84" s="16"/>
    </row>
    <row r="85" spans="1:6" s="9" customFormat="1" ht="12.75">
      <c r="A85" s="16"/>
      <c r="C85" s="16"/>
      <c r="E85" s="16"/>
      <c r="F85" s="16"/>
    </row>
    <row r="86" spans="1:6" s="9" customFormat="1" ht="12.75">
      <c r="A86" s="16"/>
      <c r="C86" s="16"/>
      <c r="E86" s="16"/>
      <c r="F86" s="16"/>
    </row>
    <row r="87" spans="1:6" s="9" customFormat="1" ht="12.75">
      <c r="A87" s="16"/>
      <c r="C87" s="16"/>
      <c r="E87" s="16"/>
      <c r="F87" s="16"/>
    </row>
    <row r="88" spans="1:6" s="9" customFormat="1" ht="12.75">
      <c r="A88" s="16"/>
      <c r="C88" s="16"/>
      <c r="E88" s="16"/>
      <c r="F88" s="16"/>
    </row>
    <row r="89" spans="1:6" s="9" customFormat="1" ht="12.75">
      <c r="A89" s="16"/>
      <c r="C89" s="16"/>
      <c r="E89" s="16"/>
      <c r="F89" s="16"/>
    </row>
    <row r="90" spans="1:6" s="9" customFormat="1" ht="12.75">
      <c r="A90" s="16"/>
      <c r="C90" s="16"/>
      <c r="E90" s="16"/>
      <c r="F90" s="16"/>
    </row>
    <row r="94" spans="1:6" ht="15">
      <c r="F94"/>
    </row>
  </sheetData>
  <mergeCells count="2">
    <mergeCell ref="B6:E6"/>
    <mergeCell ref="D64:E64"/>
  </mergeCells>
  <printOptions horizontalCentered="1"/>
  <pageMargins left="0.11811023622047245" right="0.11811023622047245" top="0.74803149606299213" bottom="0.74803149606299213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1"/>
  <sheetViews>
    <sheetView workbookViewId="0">
      <selection activeCell="C11" sqref="C11"/>
    </sheetView>
  </sheetViews>
  <sheetFormatPr baseColWidth="10" defaultRowHeight="14.25"/>
  <cols>
    <col min="1" max="2" width="26.28515625" style="8" customWidth="1"/>
    <col min="3" max="3" width="17.28515625" style="8" customWidth="1"/>
    <col min="4" max="4" width="22.28515625" style="8" customWidth="1"/>
    <col min="5" max="5" width="10.7109375" style="15" customWidth="1"/>
    <col min="6" max="6" width="13" style="8" customWidth="1"/>
    <col min="7" max="7" width="13" style="15" customWidth="1"/>
    <col min="8" max="8" width="14.42578125" style="15" customWidth="1"/>
    <col min="9" max="9" width="17.42578125" style="8" customWidth="1"/>
    <col min="10" max="16384" width="11.42578125" style="8"/>
  </cols>
  <sheetData>
    <row r="1" spans="1:21">
      <c r="A1" s="2" t="s">
        <v>0</v>
      </c>
      <c r="B1" s="50"/>
      <c r="C1" s="50"/>
    </row>
    <row r="2" spans="1:21" ht="15" thickBot="1">
      <c r="A2" s="3" t="s">
        <v>1</v>
      </c>
      <c r="B2" s="50"/>
      <c r="C2" s="50"/>
    </row>
    <row r="5" spans="1:21" ht="15" thickBot="1"/>
    <row r="6" spans="1:21" s="9" customFormat="1" ht="13.5" thickBot="1">
      <c r="A6" s="4" t="s">
        <v>2</v>
      </c>
      <c r="B6" s="51"/>
      <c r="C6" s="51"/>
      <c r="D6" s="127" t="s">
        <v>100</v>
      </c>
      <c r="E6" s="127"/>
      <c r="F6" s="127"/>
      <c r="G6" s="128"/>
      <c r="H6" s="16"/>
    </row>
    <row r="7" spans="1:21" s="9" customFormat="1" ht="12.75">
      <c r="E7" s="16"/>
      <c r="G7" s="16"/>
      <c r="H7" s="16"/>
    </row>
    <row r="8" spans="1:21" s="9" customFormat="1" ht="13.5" thickBot="1">
      <c r="E8" s="16"/>
      <c r="G8" s="16"/>
      <c r="H8" s="16"/>
    </row>
    <row r="9" spans="1:21" s="9" customFormat="1" ht="76.5">
      <c r="A9" s="106" t="s">
        <v>3</v>
      </c>
      <c r="B9" s="107" t="s">
        <v>108</v>
      </c>
      <c r="C9" s="108" t="s">
        <v>145</v>
      </c>
      <c r="D9" s="46" t="s">
        <v>4</v>
      </c>
      <c r="E9" s="46" t="s">
        <v>48</v>
      </c>
      <c r="F9" s="46" t="s">
        <v>5</v>
      </c>
      <c r="G9" s="46" t="s">
        <v>6</v>
      </c>
      <c r="H9" s="46" t="s">
        <v>7</v>
      </c>
      <c r="I9" s="46" t="s">
        <v>8</v>
      </c>
      <c r="J9" s="46" t="s">
        <v>9</v>
      </c>
      <c r="K9" s="46" t="s">
        <v>10</v>
      </c>
      <c r="L9" s="46" t="s">
        <v>11</v>
      </c>
      <c r="M9" s="46" t="s">
        <v>12</v>
      </c>
      <c r="N9" s="46" t="s">
        <v>13</v>
      </c>
      <c r="O9" s="46" t="s">
        <v>14</v>
      </c>
      <c r="P9" s="47" t="s">
        <v>15</v>
      </c>
      <c r="Q9" s="48" t="s">
        <v>16</v>
      </c>
    </row>
    <row r="10" spans="1:21" s="9" customFormat="1" ht="18.75" customHeight="1">
      <c r="A10" s="19" t="s">
        <v>71</v>
      </c>
      <c r="B10" s="19"/>
      <c r="C10" s="69"/>
      <c r="E10" s="16"/>
      <c r="G10" s="16"/>
      <c r="H10" s="16"/>
    </row>
    <row r="11" spans="1:21" s="27" customFormat="1" ht="36" customHeight="1">
      <c r="A11" s="121" t="s">
        <v>31</v>
      </c>
      <c r="B11" s="52" t="s">
        <v>109</v>
      </c>
      <c r="C11" s="70">
        <v>46186</v>
      </c>
      <c r="D11" s="22" t="s">
        <v>73</v>
      </c>
      <c r="E11" s="22" t="s">
        <v>51</v>
      </c>
      <c r="F11" s="23" t="s">
        <v>218</v>
      </c>
      <c r="G11" s="23" t="s">
        <v>219</v>
      </c>
      <c r="H11" s="22" t="s">
        <v>50</v>
      </c>
      <c r="I11" s="23" t="s">
        <v>220</v>
      </c>
      <c r="J11" s="24"/>
      <c r="K11" s="25"/>
      <c r="L11" s="24"/>
      <c r="M11" s="25"/>
      <c r="N11" s="25"/>
      <c r="O11" s="25"/>
      <c r="P11" s="25"/>
      <c r="Q11" s="26"/>
    </row>
    <row r="12" spans="1:21" s="27" customFormat="1" ht="29.25" customHeight="1">
      <c r="A12" s="121" t="s">
        <v>72</v>
      </c>
      <c r="B12" s="52" t="s">
        <v>109</v>
      </c>
      <c r="C12" s="70" t="s">
        <v>197</v>
      </c>
      <c r="D12" s="22"/>
      <c r="E12" s="22" t="s">
        <v>51</v>
      </c>
      <c r="F12" s="23" t="s">
        <v>218</v>
      </c>
      <c r="G12" s="23" t="s">
        <v>219</v>
      </c>
      <c r="H12" s="22" t="s">
        <v>50</v>
      </c>
      <c r="I12" s="23" t="s">
        <v>221</v>
      </c>
      <c r="J12" s="24"/>
      <c r="K12" s="67"/>
      <c r="L12" s="24"/>
      <c r="M12" s="25"/>
      <c r="N12" s="24"/>
      <c r="O12" s="24"/>
      <c r="P12" s="24"/>
      <c r="Q12" s="25"/>
      <c r="R12" s="66" t="s">
        <v>129</v>
      </c>
      <c r="S12" s="66"/>
      <c r="T12" s="66"/>
      <c r="U12" s="27" t="s">
        <v>175</v>
      </c>
    </row>
    <row r="13" spans="1:21" s="27" customFormat="1" ht="29.25" customHeight="1">
      <c r="A13" s="118" t="s">
        <v>188</v>
      </c>
      <c r="B13" s="52" t="s">
        <v>109</v>
      </c>
      <c r="C13" s="70" t="s">
        <v>190</v>
      </c>
      <c r="D13" s="22"/>
      <c r="E13" s="22" t="s">
        <v>51</v>
      </c>
      <c r="F13" s="23"/>
      <c r="G13" s="23"/>
      <c r="H13" s="22"/>
      <c r="I13" s="23"/>
      <c r="J13" s="24"/>
      <c r="K13" s="25"/>
      <c r="L13" s="24"/>
      <c r="M13" s="25"/>
      <c r="N13" s="24"/>
      <c r="O13" s="24"/>
      <c r="P13" s="24"/>
      <c r="Q13" s="25"/>
      <c r="R13" s="66"/>
      <c r="S13" s="66"/>
      <c r="T13" s="66"/>
    </row>
    <row r="14" spans="1:21" ht="60.75" customHeight="1">
      <c r="A14" s="122" t="s">
        <v>106</v>
      </c>
      <c r="B14" s="60" t="s">
        <v>110</v>
      </c>
      <c r="C14" s="71">
        <v>45414</v>
      </c>
      <c r="D14" s="123" t="s">
        <v>222</v>
      </c>
      <c r="E14" s="22" t="s">
        <v>51</v>
      </c>
      <c r="F14" s="33">
        <v>45292</v>
      </c>
      <c r="G14" s="44">
        <v>45657</v>
      </c>
      <c r="H14" s="22" t="s">
        <v>50</v>
      </c>
      <c r="I14" s="42"/>
      <c r="J14" s="42"/>
      <c r="K14" s="43"/>
      <c r="L14" s="42"/>
      <c r="M14" s="43"/>
      <c r="N14" s="42"/>
      <c r="O14" s="42"/>
      <c r="P14" s="42"/>
      <c r="Q14" s="42"/>
    </row>
    <row r="15" spans="1:21" ht="79.5" customHeight="1">
      <c r="A15" s="120" t="s">
        <v>113</v>
      </c>
      <c r="B15" s="60" t="s">
        <v>114</v>
      </c>
      <c r="C15" s="71">
        <v>45646</v>
      </c>
      <c r="D15" s="22" t="s">
        <v>223</v>
      </c>
      <c r="E15" s="22" t="s">
        <v>51</v>
      </c>
      <c r="F15" s="33"/>
      <c r="G15" s="44"/>
      <c r="H15" s="22" t="s">
        <v>50</v>
      </c>
      <c r="I15" s="42"/>
      <c r="J15" s="42"/>
      <c r="K15" s="43"/>
      <c r="L15" s="42"/>
      <c r="M15" s="43"/>
      <c r="N15" s="42"/>
      <c r="O15" s="42"/>
      <c r="P15" s="42"/>
      <c r="Q15" s="42"/>
    </row>
    <row r="16" spans="1:21" ht="79.5" customHeight="1">
      <c r="A16" s="122" t="s">
        <v>119</v>
      </c>
      <c r="B16" s="60" t="s">
        <v>110</v>
      </c>
      <c r="C16" s="101">
        <v>45637</v>
      </c>
      <c r="D16" s="123" t="s">
        <v>222</v>
      </c>
      <c r="E16" s="22" t="s">
        <v>51</v>
      </c>
      <c r="F16" s="33"/>
      <c r="G16" s="44"/>
      <c r="H16" s="22"/>
      <c r="I16" s="42"/>
      <c r="J16" s="42"/>
      <c r="K16" s="43"/>
      <c r="L16" s="42"/>
      <c r="M16" s="43"/>
      <c r="N16" s="42"/>
      <c r="O16" s="42"/>
      <c r="P16" s="42"/>
      <c r="Q16" s="42"/>
    </row>
    <row r="17" spans="1:19" ht="141.75" customHeight="1">
      <c r="A17" s="90" t="s">
        <v>152</v>
      </c>
      <c r="B17" s="65" t="s">
        <v>154</v>
      </c>
      <c r="C17" s="102" t="s">
        <v>209</v>
      </c>
      <c r="D17" s="32" t="s">
        <v>101</v>
      </c>
      <c r="E17" s="22" t="s">
        <v>51</v>
      </c>
      <c r="F17" s="33"/>
      <c r="G17" s="44"/>
      <c r="H17" s="22"/>
      <c r="I17" s="42"/>
      <c r="J17" s="42"/>
      <c r="K17" s="43">
        <v>344.4</v>
      </c>
      <c r="L17" s="42"/>
      <c r="M17" s="42"/>
      <c r="N17" s="42"/>
      <c r="O17" s="42"/>
      <c r="P17" s="42"/>
      <c r="Q17" s="42"/>
    </row>
    <row r="18" spans="1:19" ht="57.75" customHeight="1">
      <c r="A18" s="117" t="s">
        <v>211</v>
      </c>
      <c r="B18" s="52" t="s">
        <v>109</v>
      </c>
      <c r="C18" s="70" t="s">
        <v>204</v>
      </c>
      <c r="D18" s="126" t="s">
        <v>226</v>
      </c>
      <c r="E18" s="22">
        <v>20</v>
      </c>
      <c r="F18" s="33">
        <v>46199</v>
      </c>
      <c r="G18" s="44">
        <v>47294</v>
      </c>
      <c r="H18" s="22"/>
      <c r="I18" s="42"/>
      <c r="J18" s="42"/>
      <c r="K18" s="43">
        <v>465.6</v>
      </c>
      <c r="L18" s="42"/>
      <c r="M18" s="42"/>
      <c r="N18" s="42"/>
      <c r="O18" s="42"/>
      <c r="P18" s="42"/>
      <c r="Q18" s="42"/>
      <c r="R18" s="131" t="s">
        <v>210</v>
      </c>
      <c r="S18" s="116"/>
    </row>
    <row r="19" spans="1:19" ht="57.75" customHeight="1">
      <c r="A19" s="117" t="s">
        <v>212</v>
      </c>
      <c r="B19" s="52" t="s">
        <v>109</v>
      </c>
      <c r="C19" s="70" t="s">
        <v>213</v>
      </c>
      <c r="D19" s="32" t="s">
        <v>73</v>
      </c>
      <c r="E19" s="22" t="s">
        <v>51</v>
      </c>
      <c r="F19" s="33"/>
      <c r="G19" s="44"/>
      <c r="H19" s="22"/>
      <c r="I19" s="42"/>
      <c r="J19" s="42"/>
      <c r="K19" s="43">
        <v>384</v>
      </c>
      <c r="L19" s="42"/>
      <c r="M19" s="42"/>
      <c r="N19" s="42"/>
      <c r="O19" s="42"/>
      <c r="P19" s="42"/>
      <c r="Q19" s="49"/>
      <c r="R19" s="131"/>
      <c r="S19" s="116"/>
    </row>
    <row r="20" spans="1:19" s="27" customFormat="1" ht="39" customHeight="1">
      <c r="A20" s="105" t="s">
        <v>121</v>
      </c>
      <c r="B20" s="52" t="s">
        <v>112</v>
      </c>
      <c r="C20" s="72"/>
      <c r="D20" s="22" t="s">
        <v>24</v>
      </c>
      <c r="E20" s="22" t="s">
        <v>51</v>
      </c>
      <c r="F20" s="23">
        <v>45809</v>
      </c>
      <c r="G20" s="23">
        <v>46904</v>
      </c>
      <c r="H20" s="22" t="s">
        <v>50</v>
      </c>
      <c r="I20" s="22" t="s">
        <v>25</v>
      </c>
      <c r="J20" s="24"/>
      <c r="K20" s="25">
        <v>336</v>
      </c>
      <c r="L20" s="24"/>
      <c r="M20" s="25"/>
      <c r="N20" s="25"/>
      <c r="O20" s="25"/>
      <c r="P20" s="25"/>
      <c r="Q20" s="26"/>
    </row>
    <row r="21" spans="1:19" ht="33.75" customHeight="1">
      <c r="A21" s="60" t="s">
        <v>104</v>
      </c>
      <c r="B21" s="132" t="s">
        <v>111</v>
      </c>
      <c r="C21" s="134" t="s">
        <v>205</v>
      </c>
      <c r="D21" s="136" t="s">
        <v>73</v>
      </c>
      <c r="E21" s="138" t="s">
        <v>51</v>
      </c>
      <c r="F21" s="33"/>
      <c r="G21" s="44"/>
      <c r="H21" s="22"/>
      <c r="I21" s="42"/>
      <c r="J21" s="42"/>
      <c r="K21" s="140">
        <v>744</v>
      </c>
      <c r="L21" s="42"/>
      <c r="M21" s="42"/>
      <c r="N21" s="42"/>
      <c r="O21" s="42"/>
      <c r="P21" s="42"/>
      <c r="Q21" s="49"/>
    </row>
    <row r="22" spans="1:19" ht="96" customHeight="1">
      <c r="A22" s="60" t="s">
        <v>105</v>
      </c>
      <c r="B22" s="133"/>
      <c r="C22" s="135"/>
      <c r="D22" s="137"/>
      <c r="E22" s="139"/>
      <c r="F22" s="33"/>
      <c r="G22" s="44"/>
      <c r="H22" s="22"/>
      <c r="I22" s="42"/>
      <c r="J22" s="42"/>
      <c r="K22" s="141"/>
      <c r="L22" s="42"/>
      <c r="M22" s="42"/>
      <c r="N22" s="42"/>
      <c r="O22" s="42"/>
      <c r="P22" s="42"/>
      <c r="Q22" s="49"/>
    </row>
    <row r="23" spans="1:19" ht="48" customHeight="1">
      <c r="A23" s="65" t="s">
        <v>128</v>
      </c>
      <c r="B23" s="52" t="s">
        <v>109</v>
      </c>
      <c r="C23" s="72"/>
      <c r="D23" s="147" t="s">
        <v>189</v>
      </c>
      <c r="E23" s="148"/>
      <c r="F23" s="33"/>
      <c r="G23" s="44"/>
      <c r="H23" s="22"/>
      <c r="I23" s="42"/>
      <c r="J23" s="42"/>
      <c r="K23" s="43"/>
      <c r="L23" s="42"/>
      <c r="M23" s="42"/>
      <c r="N23" s="42"/>
      <c r="O23" s="42"/>
      <c r="P23" s="42"/>
      <c r="Q23" s="49"/>
    </row>
    <row r="24" spans="1:19" s="9" customFormat="1" ht="18.75" customHeight="1">
      <c r="A24" s="13" t="s">
        <v>52</v>
      </c>
      <c r="B24" s="53"/>
      <c r="C24" s="73"/>
      <c r="D24" s="5"/>
      <c r="E24" s="5"/>
      <c r="F24" s="6"/>
      <c r="G24" s="6"/>
      <c r="H24" s="5"/>
      <c r="I24" s="5"/>
      <c r="J24" s="10"/>
      <c r="K24" s="11"/>
      <c r="L24" s="10"/>
      <c r="M24" s="11"/>
      <c r="N24" s="11"/>
      <c r="O24" s="11"/>
      <c r="P24" s="11"/>
      <c r="Q24" s="12"/>
    </row>
    <row r="25" spans="1:19" s="27" customFormat="1" ht="30" customHeight="1">
      <c r="A25" s="28" t="s">
        <v>27</v>
      </c>
      <c r="B25" s="52" t="s">
        <v>109</v>
      </c>
      <c r="C25" s="72"/>
      <c r="D25" s="22" t="s">
        <v>122</v>
      </c>
      <c r="E25" s="22" t="s">
        <v>51</v>
      </c>
      <c r="F25" s="23">
        <v>45292</v>
      </c>
      <c r="G25" s="23"/>
      <c r="H25" s="22" t="s">
        <v>123</v>
      </c>
      <c r="I25" s="22"/>
      <c r="J25" s="24"/>
      <c r="K25" s="25"/>
      <c r="L25" s="24"/>
      <c r="M25" s="25"/>
      <c r="N25" s="25"/>
      <c r="O25" s="25"/>
      <c r="P25" s="25"/>
      <c r="Q25" s="26"/>
    </row>
    <row r="26" spans="1:19" s="27" customFormat="1" ht="48.75" customHeight="1">
      <c r="A26" s="28" t="s">
        <v>124</v>
      </c>
      <c r="B26" s="64" t="s">
        <v>125</v>
      </c>
      <c r="C26" s="74"/>
      <c r="D26" s="22"/>
      <c r="E26" s="22" t="s">
        <v>51</v>
      </c>
      <c r="F26" s="23"/>
      <c r="G26" s="23"/>
      <c r="H26" s="22"/>
      <c r="I26" s="22"/>
      <c r="J26" s="24"/>
      <c r="K26" s="25"/>
      <c r="L26" s="24"/>
      <c r="M26" s="25"/>
      <c r="N26" s="25"/>
      <c r="O26" s="25"/>
      <c r="P26" s="25"/>
      <c r="Q26" s="26"/>
    </row>
    <row r="27" spans="1:19" s="27" customFormat="1" ht="104.25" customHeight="1">
      <c r="A27" s="121" t="s">
        <v>146</v>
      </c>
      <c r="B27" s="52" t="s">
        <v>109</v>
      </c>
      <c r="C27" s="70">
        <v>45287</v>
      </c>
      <c r="D27" s="22"/>
      <c r="E27" s="22" t="s">
        <v>51</v>
      </c>
      <c r="F27" s="23">
        <v>44927</v>
      </c>
      <c r="G27" s="23">
        <v>46022</v>
      </c>
      <c r="H27" s="22" t="s">
        <v>50</v>
      </c>
      <c r="I27" s="22" t="s">
        <v>30</v>
      </c>
      <c r="J27" s="24"/>
      <c r="K27" s="25"/>
      <c r="L27" s="24"/>
      <c r="M27" s="25"/>
      <c r="N27" s="25"/>
      <c r="O27" s="25"/>
      <c r="P27" s="25"/>
      <c r="Q27" s="26"/>
    </row>
    <row r="28" spans="1:19" s="9" customFormat="1" ht="52.5" customHeight="1">
      <c r="A28" s="122" t="s">
        <v>171</v>
      </c>
      <c r="B28" s="52" t="s">
        <v>109</v>
      </c>
      <c r="C28" s="104">
        <v>45568</v>
      </c>
      <c r="D28" s="16"/>
      <c r="E28" s="22" t="s">
        <v>51</v>
      </c>
      <c r="F28" s="10"/>
      <c r="G28" s="5"/>
      <c r="H28" s="5"/>
      <c r="I28" s="10"/>
      <c r="J28" s="10"/>
      <c r="K28" s="11"/>
      <c r="L28" s="10"/>
      <c r="M28" s="11"/>
      <c r="N28" s="10"/>
      <c r="O28" s="10"/>
      <c r="P28" s="10"/>
      <c r="Q28" s="10"/>
    </row>
    <row r="29" spans="1:19" s="27" customFormat="1" ht="83.25" customHeight="1">
      <c r="A29" s="121" t="s">
        <v>147</v>
      </c>
      <c r="B29" s="52" t="s">
        <v>109</v>
      </c>
      <c r="C29" s="70">
        <v>45287</v>
      </c>
      <c r="D29" s="22"/>
      <c r="E29" s="22" t="s">
        <v>51</v>
      </c>
      <c r="F29" s="23">
        <v>44927</v>
      </c>
      <c r="G29" s="23">
        <v>46022</v>
      </c>
      <c r="H29" s="22" t="s">
        <v>50</v>
      </c>
      <c r="I29" s="22"/>
      <c r="J29" s="24"/>
      <c r="L29" s="24"/>
      <c r="N29" s="25"/>
      <c r="O29" s="25"/>
      <c r="P29" s="25"/>
      <c r="Q29" s="26"/>
    </row>
    <row r="30" spans="1:19" s="27" customFormat="1" ht="40.5" customHeight="1">
      <c r="A30" s="121" t="s">
        <v>115</v>
      </c>
      <c r="B30" s="52" t="s">
        <v>109</v>
      </c>
      <c r="C30" s="70" t="s">
        <v>195</v>
      </c>
      <c r="D30" s="22"/>
      <c r="E30" s="22" t="s">
        <v>51</v>
      </c>
      <c r="F30" s="23"/>
      <c r="G30" s="23"/>
      <c r="H30" s="22"/>
      <c r="I30" s="22"/>
      <c r="J30" s="24"/>
      <c r="K30" s="25"/>
      <c r="L30" s="24"/>
      <c r="M30" s="25"/>
      <c r="N30" s="25"/>
      <c r="O30" s="25"/>
      <c r="P30" s="25"/>
      <c r="Q30" s="26"/>
    </row>
    <row r="31" spans="1:19" s="27" customFormat="1" ht="95.25" customHeight="1">
      <c r="A31" s="121" t="s">
        <v>148</v>
      </c>
      <c r="B31" s="52" t="s">
        <v>109</v>
      </c>
      <c r="C31" s="70">
        <v>45528</v>
      </c>
      <c r="D31" s="22"/>
      <c r="E31" s="22" t="s">
        <v>51</v>
      </c>
      <c r="F31" s="23"/>
      <c r="G31" s="23"/>
      <c r="H31" s="22"/>
      <c r="I31" s="22"/>
      <c r="J31" s="24"/>
      <c r="K31" s="25">
        <v>986.74</v>
      </c>
      <c r="L31" s="24"/>
      <c r="M31" s="25"/>
      <c r="N31" s="25"/>
      <c r="O31" s="25"/>
      <c r="P31" s="25"/>
      <c r="Q31" s="26"/>
    </row>
    <row r="32" spans="1:19" s="27" customFormat="1" ht="25.5">
      <c r="A32" s="121" t="s">
        <v>127</v>
      </c>
      <c r="B32" s="52" t="s">
        <v>126</v>
      </c>
      <c r="C32" s="72">
        <v>2026</v>
      </c>
      <c r="D32" s="22" t="s">
        <v>207</v>
      </c>
      <c r="E32" s="22" t="s">
        <v>51</v>
      </c>
      <c r="F32" s="23">
        <v>46023</v>
      </c>
      <c r="G32" s="23">
        <v>47118</v>
      </c>
      <c r="H32" s="22" t="s">
        <v>50</v>
      </c>
      <c r="I32" s="22" t="s">
        <v>206</v>
      </c>
      <c r="J32" s="24"/>
      <c r="K32" s="25">
        <v>110.05</v>
      </c>
      <c r="L32" s="24"/>
      <c r="M32" s="25"/>
      <c r="N32" s="25"/>
      <c r="O32" s="25"/>
      <c r="P32" s="25"/>
      <c r="Q32" s="26"/>
      <c r="R32" s="27" t="s">
        <v>208</v>
      </c>
    </row>
    <row r="33" spans="1:23" ht="26.25" customHeight="1">
      <c r="A33" s="116" t="s">
        <v>85</v>
      </c>
      <c r="B33" s="42"/>
      <c r="C33" s="75"/>
      <c r="D33" s="32"/>
      <c r="E33" s="22" t="s">
        <v>51</v>
      </c>
      <c r="F33" s="44"/>
      <c r="G33" s="45"/>
      <c r="H33" s="22" t="s">
        <v>50</v>
      </c>
      <c r="I33" s="42"/>
      <c r="J33" s="42"/>
      <c r="K33" s="25"/>
      <c r="L33" s="42"/>
      <c r="M33" s="25"/>
      <c r="N33" s="25"/>
      <c r="O33" s="25"/>
      <c r="P33" s="25"/>
      <c r="Q33" s="26"/>
    </row>
    <row r="34" spans="1:23" s="9" customFormat="1" ht="55.5" customHeight="1">
      <c r="A34" s="125" t="s">
        <v>53</v>
      </c>
      <c r="B34" s="93"/>
      <c r="C34" s="76"/>
      <c r="D34" s="17" t="s">
        <v>54</v>
      </c>
      <c r="E34" s="22" t="s">
        <v>51</v>
      </c>
      <c r="F34" s="6">
        <v>44562</v>
      </c>
      <c r="G34" s="6">
        <v>46022</v>
      </c>
      <c r="H34" s="5"/>
      <c r="I34" s="6" t="s">
        <v>55</v>
      </c>
      <c r="J34" s="10"/>
      <c r="K34" s="25">
        <f t="shared" ref="K34" si="0">Q34</f>
        <v>0</v>
      </c>
      <c r="L34" s="10"/>
      <c r="M34" s="25">
        <v>0</v>
      </c>
      <c r="N34" s="25">
        <v>0</v>
      </c>
      <c r="O34" s="25">
        <v>0</v>
      </c>
      <c r="P34" s="25">
        <v>0</v>
      </c>
      <c r="Q34" s="26">
        <f t="shared" ref="Q34" si="1">M34+N34+O34+P34</f>
        <v>0</v>
      </c>
    </row>
    <row r="35" spans="1:23" s="9" customFormat="1" ht="69.75" customHeight="1">
      <c r="A35" s="91" t="s">
        <v>156</v>
      </c>
      <c r="B35" s="95" t="s">
        <v>155</v>
      </c>
      <c r="C35" s="77"/>
      <c r="D35" s="17" t="s">
        <v>141</v>
      </c>
      <c r="E35" s="22" t="s">
        <v>51</v>
      </c>
      <c r="F35" s="6"/>
      <c r="G35" s="6"/>
      <c r="H35" s="5"/>
      <c r="I35" s="6"/>
      <c r="J35" s="10"/>
      <c r="K35" s="25"/>
      <c r="L35" s="11"/>
      <c r="M35" s="25"/>
      <c r="N35" s="25"/>
      <c r="O35" s="25"/>
      <c r="P35" s="25"/>
      <c r="Q35" s="26"/>
      <c r="R35" s="149" t="s">
        <v>182</v>
      </c>
      <c r="S35" s="150"/>
    </row>
    <row r="36" spans="1:23" s="9" customFormat="1" ht="24" customHeight="1">
      <c r="A36" s="92" t="s">
        <v>49</v>
      </c>
      <c r="B36" s="94"/>
      <c r="C36" s="73"/>
      <c r="D36" s="5"/>
      <c r="E36" s="5"/>
      <c r="F36" s="6"/>
      <c r="G36" s="6"/>
      <c r="H36" s="5"/>
      <c r="I36" s="6"/>
      <c r="J36" s="10"/>
      <c r="K36" s="11"/>
      <c r="L36" s="10"/>
      <c r="M36" s="11"/>
      <c r="N36" s="11"/>
      <c r="O36" s="11"/>
      <c r="P36" s="11"/>
      <c r="Q36" s="12"/>
    </row>
    <row r="37" spans="1:23" s="27" customFormat="1" ht="34.5" customHeight="1">
      <c r="A37" s="21" t="s">
        <v>217</v>
      </c>
      <c r="B37" s="54"/>
      <c r="C37" s="78"/>
      <c r="D37" s="22"/>
      <c r="E37" s="22" t="s">
        <v>51</v>
      </c>
      <c r="F37" s="23"/>
      <c r="G37" s="23"/>
      <c r="H37" s="22"/>
      <c r="I37" s="22"/>
      <c r="J37" s="24"/>
      <c r="K37" s="25"/>
      <c r="L37" s="24"/>
      <c r="M37" s="25"/>
      <c r="N37" s="25"/>
      <c r="O37" s="25"/>
      <c r="P37" s="25"/>
      <c r="Q37" s="26"/>
    </row>
    <row r="38" spans="1:23" s="27" customFormat="1" ht="34.5" customHeight="1">
      <c r="A38" s="28" t="s">
        <v>39</v>
      </c>
      <c r="B38" s="52"/>
      <c r="C38" s="72"/>
      <c r="D38" s="22" t="s">
        <v>183</v>
      </c>
      <c r="E38" s="22" t="s">
        <v>51</v>
      </c>
      <c r="F38" s="23">
        <v>45658</v>
      </c>
      <c r="G38" s="23">
        <v>46752</v>
      </c>
      <c r="H38" s="22" t="s">
        <v>50</v>
      </c>
      <c r="I38" s="22"/>
      <c r="J38" s="24"/>
      <c r="K38" s="25">
        <v>0</v>
      </c>
      <c r="L38" s="24"/>
      <c r="M38" s="25">
        <v>0</v>
      </c>
      <c r="N38" s="25">
        <v>0</v>
      </c>
      <c r="O38" s="25">
        <v>0</v>
      </c>
      <c r="P38" s="25">
        <v>0</v>
      </c>
      <c r="Q38" s="26">
        <f t="shared" ref="Q38" si="2">M38+N38+O38+P38</f>
        <v>0</v>
      </c>
    </row>
    <row r="39" spans="1:23" s="27" customFormat="1" ht="34.5" customHeight="1">
      <c r="A39" s="28"/>
      <c r="B39" s="52"/>
      <c r="C39" s="72"/>
      <c r="D39" s="22"/>
      <c r="E39" s="22"/>
      <c r="F39" s="23"/>
      <c r="G39" s="23"/>
      <c r="H39" s="22"/>
      <c r="I39" s="22"/>
      <c r="J39" s="24"/>
      <c r="K39" s="25"/>
      <c r="L39" s="24"/>
      <c r="M39" s="25"/>
      <c r="N39" s="25"/>
      <c r="O39" s="25"/>
      <c r="P39" s="25"/>
      <c r="Q39" s="26"/>
    </row>
    <row r="40" spans="1:23" s="27" customFormat="1" ht="34.5" customHeight="1">
      <c r="A40" s="28"/>
      <c r="B40" s="52"/>
      <c r="C40" s="72"/>
      <c r="D40" s="22"/>
      <c r="E40" s="22"/>
      <c r="F40" s="23"/>
      <c r="G40" s="23"/>
      <c r="H40" s="22"/>
      <c r="I40" s="22"/>
      <c r="J40" s="24"/>
      <c r="K40" s="25"/>
      <c r="L40" s="24"/>
      <c r="M40" s="25"/>
      <c r="N40" s="25"/>
      <c r="O40" s="25"/>
      <c r="P40" s="25"/>
      <c r="Q40" s="26"/>
    </row>
    <row r="41" spans="1:23" s="27" customFormat="1" ht="34.5" customHeight="1">
      <c r="A41" s="121" t="s">
        <v>93</v>
      </c>
      <c r="B41" s="52"/>
      <c r="C41" s="72"/>
      <c r="D41" s="22" t="s">
        <v>94</v>
      </c>
      <c r="E41" s="22" t="s">
        <v>51</v>
      </c>
      <c r="F41" s="23">
        <v>45748</v>
      </c>
      <c r="G41" s="23" t="s">
        <v>224</v>
      </c>
      <c r="H41" s="22" t="s">
        <v>50</v>
      </c>
      <c r="I41" s="22" t="s">
        <v>225</v>
      </c>
      <c r="J41" s="24"/>
      <c r="K41" s="25">
        <f>Q41</f>
        <v>0</v>
      </c>
      <c r="L41" s="24"/>
      <c r="M41" s="25"/>
      <c r="N41" s="25"/>
      <c r="O41" s="67"/>
      <c r="P41" s="25"/>
      <c r="Q41" s="26"/>
    </row>
    <row r="42" spans="1:23" s="27" customFormat="1" ht="30" customHeight="1">
      <c r="A42" s="21" t="s">
        <v>42</v>
      </c>
      <c r="B42" s="54"/>
      <c r="C42" s="78"/>
      <c r="D42" s="29"/>
      <c r="E42" s="22"/>
      <c r="F42" s="23"/>
      <c r="G42" s="23"/>
      <c r="H42" s="23"/>
      <c r="I42" s="22"/>
      <c r="J42" s="24"/>
      <c r="K42" s="25"/>
      <c r="L42" s="24"/>
      <c r="M42" s="25"/>
      <c r="N42" s="25"/>
      <c r="O42" s="25"/>
      <c r="P42" s="25"/>
      <c r="Q42" s="26"/>
    </row>
    <row r="43" spans="1:23" s="27" customFormat="1" ht="57.75" customHeight="1">
      <c r="A43" s="28" t="s">
        <v>157</v>
      </c>
      <c r="B43" s="99" t="s">
        <v>161</v>
      </c>
      <c r="C43" s="78"/>
      <c r="D43" s="29" t="s">
        <v>29</v>
      </c>
      <c r="E43" s="22"/>
      <c r="F43" s="23">
        <v>45163</v>
      </c>
      <c r="G43" s="23"/>
      <c r="H43" s="23"/>
      <c r="I43" s="22"/>
      <c r="J43" s="24"/>
      <c r="K43" s="25"/>
      <c r="L43" s="24"/>
      <c r="M43" s="25"/>
      <c r="N43" s="25"/>
      <c r="O43" s="25"/>
      <c r="P43" s="25"/>
      <c r="Q43" s="26"/>
    </row>
    <row r="44" spans="1:23" s="27" customFormat="1" ht="30" customHeight="1">
      <c r="A44" s="28" t="s">
        <v>158</v>
      </c>
      <c r="B44" s="98" t="s">
        <v>164</v>
      </c>
      <c r="C44" s="78"/>
      <c r="D44" s="29" t="s">
        <v>29</v>
      </c>
      <c r="E44" s="22"/>
      <c r="F44" s="23">
        <v>45040</v>
      </c>
      <c r="G44" s="23"/>
      <c r="H44" s="23"/>
      <c r="I44" s="22"/>
      <c r="J44" s="24"/>
      <c r="K44" s="25"/>
      <c r="L44" s="24"/>
      <c r="M44" s="25"/>
      <c r="N44" s="25"/>
      <c r="O44" s="25"/>
      <c r="P44" s="25"/>
      <c r="Q44" s="26"/>
    </row>
    <row r="45" spans="1:23" s="27" customFormat="1" ht="56.25" customHeight="1">
      <c r="A45" s="28" t="s">
        <v>159</v>
      </c>
      <c r="B45" s="54"/>
      <c r="C45" s="78"/>
      <c r="D45" s="97" t="s">
        <v>160</v>
      </c>
      <c r="E45" s="22"/>
      <c r="F45" s="23"/>
      <c r="G45" s="23"/>
      <c r="H45" s="23"/>
      <c r="I45" s="22"/>
      <c r="J45" s="24"/>
      <c r="K45" s="25"/>
      <c r="L45" s="24"/>
      <c r="M45" s="25"/>
      <c r="N45" s="25"/>
      <c r="O45" s="25"/>
      <c r="P45" s="25"/>
      <c r="Q45" s="26"/>
    </row>
    <row r="46" spans="1:23" s="27" customFormat="1" ht="25.5">
      <c r="A46" s="28" t="s">
        <v>22</v>
      </c>
      <c r="B46" s="52"/>
      <c r="C46" s="72"/>
      <c r="D46" s="22" t="s">
        <v>185</v>
      </c>
      <c r="E46" s="22" t="s">
        <v>51</v>
      </c>
      <c r="F46" s="23">
        <v>45664</v>
      </c>
      <c r="G46" s="23">
        <v>46758</v>
      </c>
      <c r="H46" s="22" t="s">
        <v>50</v>
      </c>
      <c r="I46" s="22"/>
      <c r="J46" s="24"/>
      <c r="K46" s="25">
        <v>462.17</v>
      </c>
      <c r="L46" s="24"/>
      <c r="M46" s="25"/>
      <c r="N46" s="25"/>
      <c r="O46" s="25"/>
      <c r="P46" s="25"/>
      <c r="Q46" s="26"/>
      <c r="R46" s="110"/>
      <c r="S46" s="110"/>
      <c r="T46" s="110"/>
      <c r="U46" s="110"/>
      <c r="V46" s="110"/>
      <c r="W46" s="110"/>
    </row>
    <row r="47" spans="1:23" s="27" customFormat="1" ht="28.5" customHeight="1">
      <c r="A47" s="28" t="s">
        <v>56</v>
      </c>
      <c r="B47" s="52"/>
      <c r="C47" s="72"/>
      <c r="D47" s="22" t="s">
        <v>57</v>
      </c>
      <c r="E47" s="22" t="s">
        <v>51</v>
      </c>
      <c r="F47" s="23">
        <v>45259</v>
      </c>
      <c r="G47" s="23">
        <v>46719</v>
      </c>
      <c r="H47" s="22" t="s">
        <v>50</v>
      </c>
      <c r="I47" s="22" t="s">
        <v>58</v>
      </c>
      <c r="J47" s="24"/>
      <c r="K47" s="25"/>
      <c r="L47" s="24"/>
      <c r="M47" s="25"/>
      <c r="N47" s="25"/>
      <c r="O47" s="25"/>
      <c r="P47" s="25"/>
      <c r="Q47" s="26"/>
      <c r="R47" s="110"/>
      <c r="S47" s="110"/>
      <c r="T47" s="110"/>
      <c r="U47" s="110"/>
      <c r="V47" s="110"/>
      <c r="W47" s="110"/>
    </row>
    <row r="48" spans="1:23" s="27" customFormat="1" ht="28.5" customHeight="1">
      <c r="A48" s="28" t="s">
        <v>60</v>
      </c>
      <c r="B48" s="52"/>
      <c r="C48" s="72"/>
      <c r="D48" s="22" t="s">
        <v>59</v>
      </c>
      <c r="E48" s="22" t="s">
        <v>51</v>
      </c>
      <c r="F48" s="23">
        <v>44927</v>
      </c>
      <c r="G48" s="23">
        <v>38717</v>
      </c>
      <c r="H48" s="22" t="s">
        <v>50</v>
      </c>
      <c r="I48" s="22" t="s">
        <v>61</v>
      </c>
      <c r="J48" s="24"/>
      <c r="K48" s="25">
        <f t="shared" ref="K48" si="3">Q48</f>
        <v>0</v>
      </c>
      <c r="L48" s="24"/>
      <c r="M48" s="25">
        <v>0</v>
      </c>
      <c r="N48" s="25">
        <v>0</v>
      </c>
      <c r="O48" s="25">
        <v>0</v>
      </c>
      <c r="P48" s="25">
        <v>0</v>
      </c>
      <c r="Q48" s="26">
        <f t="shared" ref="Q48" si="4">M48+N48+O48+P48</f>
        <v>0</v>
      </c>
    </row>
    <row r="49" spans="1:19">
      <c r="A49" s="59" t="s">
        <v>187</v>
      </c>
      <c r="B49" s="20"/>
      <c r="C49" s="79"/>
      <c r="D49" s="32" t="s">
        <v>88</v>
      </c>
      <c r="E49" s="22" t="s">
        <v>51</v>
      </c>
      <c r="F49" s="33">
        <v>45533</v>
      </c>
      <c r="G49" s="44">
        <v>46627</v>
      </c>
      <c r="H49" s="22" t="s">
        <v>50</v>
      </c>
      <c r="I49" s="42"/>
      <c r="J49" s="42"/>
      <c r="K49" s="43"/>
      <c r="L49" s="42"/>
      <c r="M49" s="43"/>
      <c r="N49" s="42"/>
      <c r="O49" s="42"/>
      <c r="P49" s="42"/>
      <c r="Q49" s="42"/>
    </row>
    <row r="50" spans="1:19" s="9" customFormat="1" ht="12.75">
      <c r="A50" s="14"/>
      <c r="B50" s="55"/>
      <c r="C50" s="80"/>
      <c r="D50" s="10"/>
      <c r="E50" s="5"/>
      <c r="F50" s="10"/>
      <c r="G50" s="5"/>
      <c r="H50" s="5"/>
      <c r="I50" s="10"/>
      <c r="J50" s="10"/>
      <c r="K50" s="11"/>
      <c r="L50" s="10"/>
      <c r="M50" s="11"/>
      <c r="N50" s="11"/>
      <c r="O50" s="11"/>
      <c r="P50" s="11"/>
      <c r="Q50" s="12"/>
    </row>
    <row r="51" spans="1:19" s="9" customFormat="1" ht="12.75">
      <c r="A51" s="18" t="s">
        <v>62</v>
      </c>
      <c r="B51" s="56"/>
      <c r="C51" s="81"/>
      <c r="D51" s="10"/>
      <c r="E51" s="5"/>
      <c r="F51" s="10"/>
      <c r="G51" s="5"/>
      <c r="H51" s="5"/>
      <c r="I51" s="10"/>
      <c r="J51" s="10"/>
      <c r="K51" s="11"/>
      <c r="L51" s="10"/>
      <c r="M51" s="11"/>
      <c r="N51" s="11"/>
      <c r="O51" s="11"/>
      <c r="P51" s="11"/>
      <c r="Q51" s="12"/>
    </row>
    <row r="52" spans="1:19" s="27" customFormat="1" ht="30" customHeight="1">
      <c r="A52" s="21" t="s">
        <v>17</v>
      </c>
      <c r="B52" s="54"/>
      <c r="C52" s="78" t="s">
        <v>214</v>
      </c>
      <c r="D52" s="22" t="s">
        <v>21</v>
      </c>
      <c r="E52" s="22" t="s">
        <v>143</v>
      </c>
      <c r="F52" s="23">
        <v>45748</v>
      </c>
      <c r="G52" s="23">
        <v>46022</v>
      </c>
      <c r="H52" s="22" t="s">
        <v>50</v>
      </c>
      <c r="I52" s="23" t="s">
        <v>18</v>
      </c>
      <c r="J52" s="24"/>
      <c r="K52" s="25">
        <v>0</v>
      </c>
      <c r="L52" s="24"/>
      <c r="M52" s="25"/>
      <c r="N52" s="25"/>
      <c r="O52" s="25"/>
      <c r="P52" s="25"/>
      <c r="Q52" s="26"/>
    </row>
    <row r="53" spans="1:19" s="27" customFormat="1" ht="35.25" customHeight="1">
      <c r="A53" s="28" t="s">
        <v>63</v>
      </c>
      <c r="B53" s="100" t="s">
        <v>163</v>
      </c>
      <c r="C53" s="72"/>
      <c r="D53" s="52" t="s">
        <v>162</v>
      </c>
      <c r="E53" s="22" t="s">
        <v>143</v>
      </c>
      <c r="F53" s="23">
        <v>44431</v>
      </c>
      <c r="G53" s="23"/>
      <c r="H53" s="22"/>
      <c r="I53" s="22" t="s">
        <v>46</v>
      </c>
      <c r="J53" s="24"/>
      <c r="K53" s="25"/>
      <c r="L53" s="24"/>
      <c r="M53" s="25"/>
      <c r="N53" s="25"/>
      <c r="O53" s="25"/>
      <c r="P53" s="25"/>
      <c r="Q53" s="26"/>
    </row>
    <row r="54" spans="1:19" s="27" customFormat="1" ht="27" customHeight="1">
      <c r="A54" s="21" t="s">
        <v>64</v>
      </c>
      <c r="B54" s="54"/>
      <c r="C54" s="96">
        <v>45481</v>
      </c>
      <c r="D54" s="17" t="s">
        <v>136</v>
      </c>
      <c r="E54" s="22" t="s">
        <v>143</v>
      </c>
      <c r="F54" s="5"/>
      <c r="G54" s="5"/>
      <c r="H54" s="10"/>
      <c r="I54" s="10"/>
      <c r="J54" s="9"/>
      <c r="K54" s="11"/>
      <c r="L54" s="10"/>
      <c r="M54" s="11"/>
      <c r="N54" s="11"/>
      <c r="O54" s="11"/>
      <c r="P54" s="11"/>
      <c r="Q54" s="12"/>
    </row>
    <row r="55" spans="1:19" s="27" customFormat="1" ht="25.5" customHeight="1">
      <c r="A55" s="30" t="s">
        <v>77</v>
      </c>
      <c r="B55" s="57"/>
      <c r="C55" s="82"/>
      <c r="D55" s="22"/>
      <c r="E55" s="22" t="s">
        <v>143</v>
      </c>
      <c r="F55" s="31"/>
      <c r="G55" s="23"/>
      <c r="H55" s="22" t="s">
        <v>50</v>
      </c>
      <c r="I55" s="22" t="s">
        <v>80</v>
      </c>
      <c r="J55" s="24"/>
      <c r="K55" s="11"/>
      <c r="L55" s="24"/>
      <c r="M55" s="25"/>
      <c r="N55" s="25"/>
      <c r="O55" s="25"/>
      <c r="P55" s="25"/>
      <c r="Q55" s="26"/>
    </row>
    <row r="56" spans="1:19" s="9" customFormat="1" ht="30" customHeight="1">
      <c r="A56" s="14" t="s">
        <v>78</v>
      </c>
      <c r="B56" s="55"/>
      <c r="C56" s="80"/>
      <c r="D56" s="5" t="s">
        <v>76</v>
      </c>
      <c r="E56" s="22" t="s">
        <v>143</v>
      </c>
      <c r="F56" s="10"/>
      <c r="G56" s="5"/>
      <c r="H56" s="5"/>
      <c r="I56" s="10"/>
      <c r="J56" s="10"/>
      <c r="K56" s="11"/>
      <c r="L56" s="10"/>
      <c r="M56" s="25"/>
      <c r="N56" s="25"/>
      <c r="O56" s="25"/>
      <c r="P56" s="25"/>
      <c r="Q56" s="26"/>
    </row>
    <row r="57" spans="1:19" s="9" customFormat="1" ht="30" customHeight="1">
      <c r="A57" s="62" t="s">
        <v>132</v>
      </c>
      <c r="B57" s="5" t="s">
        <v>134</v>
      </c>
      <c r="C57" s="83"/>
      <c r="D57" s="17" t="s">
        <v>133</v>
      </c>
      <c r="E57" s="22" t="s">
        <v>143</v>
      </c>
      <c r="F57" s="6">
        <v>46023</v>
      </c>
      <c r="G57" s="6">
        <v>46387</v>
      </c>
      <c r="H57" s="10"/>
      <c r="I57" s="10"/>
      <c r="J57" s="11"/>
      <c r="K57" s="11">
        <v>154.5</v>
      </c>
      <c r="L57" s="11"/>
      <c r="M57" s="11"/>
      <c r="N57" s="11"/>
      <c r="O57" s="11"/>
      <c r="P57" s="25"/>
      <c r="Q57" s="26"/>
      <c r="R57" s="151"/>
      <c r="S57" s="143"/>
    </row>
    <row r="58" spans="1:19" s="9" customFormat="1" ht="30" customHeight="1">
      <c r="A58" s="62" t="s">
        <v>137</v>
      </c>
      <c r="C58" s="77"/>
      <c r="D58" s="17" t="s">
        <v>138</v>
      </c>
      <c r="E58" s="22" t="s">
        <v>143</v>
      </c>
      <c r="F58" s="10"/>
      <c r="G58" s="5"/>
      <c r="H58" s="5"/>
      <c r="I58" s="10"/>
      <c r="J58" s="10"/>
      <c r="K58" s="11"/>
      <c r="L58" s="10"/>
      <c r="M58" s="11">
        <v>0</v>
      </c>
      <c r="N58" s="11">
        <v>0</v>
      </c>
      <c r="O58" s="11">
        <v>0</v>
      </c>
      <c r="P58" s="11">
        <v>0</v>
      </c>
      <c r="Q58" s="12">
        <f t="shared" ref="Q58" si="5">SUM(M58:P58)</f>
        <v>0</v>
      </c>
    </row>
    <row r="59" spans="1:19" s="9" customFormat="1" ht="12.75">
      <c r="A59" s="18" t="s">
        <v>65</v>
      </c>
      <c r="B59" s="56"/>
      <c r="C59" s="81"/>
      <c r="D59" s="10"/>
      <c r="E59" s="22"/>
      <c r="F59" s="10"/>
      <c r="G59" s="5"/>
      <c r="H59" s="5"/>
      <c r="I59" s="10"/>
      <c r="J59" s="10"/>
      <c r="K59" s="11"/>
      <c r="L59" s="10"/>
      <c r="M59" s="11"/>
      <c r="N59" s="11"/>
      <c r="O59" s="11"/>
      <c r="P59" s="11"/>
      <c r="Q59" s="12"/>
    </row>
    <row r="60" spans="1:19" s="27" customFormat="1" ht="48.75" customHeight="1">
      <c r="A60" s="28" t="s">
        <v>68</v>
      </c>
      <c r="B60" s="52" t="s">
        <v>203</v>
      </c>
      <c r="C60" s="72"/>
      <c r="D60" s="22" t="s">
        <v>66</v>
      </c>
      <c r="E60" s="22" t="s">
        <v>143</v>
      </c>
      <c r="F60" s="23">
        <v>45901</v>
      </c>
      <c r="G60" s="23">
        <v>46265</v>
      </c>
      <c r="H60" s="29" t="s">
        <v>67</v>
      </c>
      <c r="I60" s="22"/>
      <c r="J60" s="24"/>
      <c r="K60" s="25">
        <v>1643.92</v>
      </c>
      <c r="L60" s="25"/>
      <c r="M60" s="25"/>
      <c r="N60" s="25"/>
      <c r="O60" s="25"/>
      <c r="P60" s="25"/>
      <c r="Q60" s="26"/>
    </row>
    <row r="61" spans="1:19" s="27" customFormat="1" ht="47.25" customHeight="1">
      <c r="A61" s="28" t="s">
        <v>102</v>
      </c>
      <c r="B61" s="52"/>
      <c r="C61" s="72"/>
      <c r="D61" s="22" t="s">
        <v>66</v>
      </c>
      <c r="E61" s="22" t="s">
        <v>143</v>
      </c>
      <c r="F61" s="23">
        <v>46023</v>
      </c>
      <c r="G61" s="23">
        <v>46387</v>
      </c>
      <c r="H61" s="29" t="s">
        <v>67</v>
      </c>
      <c r="I61" s="24"/>
      <c r="J61" s="24"/>
      <c r="K61" s="25">
        <v>792</v>
      </c>
      <c r="L61" s="24"/>
      <c r="M61" s="25"/>
      <c r="N61" s="25"/>
      <c r="O61" s="25"/>
      <c r="P61" s="25"/>
      <c r="Q61" s="26"/>
      <c r="R61" s="151"/>
      <c r="S61" s="143"/>
    </row>
    <row r="62" spans="1:19" s="27" customFormat="1" ht="30" customHeight="1">
      <c r="A62" s="34" t="s">
        <v>176</v>
      </c>
      <c r="B62" s="58"/>
      <c r="C62" s="84"/>
      <c r="D62" s="124" t="s">
        <v>70</v>
      </c>
      <c r="E62" s="22" t="s">
        <v>143</v>
      </c>
      <c r="F62" s="23">
        <v>46023</v>
      </c>
      <c r="G62" s="23">
        <v>46387</v>
      </c>
      <c r="H62" s="38" t="s">
        <v>67</v>
      </c>
      <c r="I62" s="35"/>
      <c r="J62" s="35"/>
      <c r="K62" s="39">
        <v>512.64</v>
      </c>
      <c r="L62" s="35"/>
      <c r="M62" s="39"/>
      <c r="N62" s="39"/>
      <c r="O62" s="39"/>
      <c r="P62" s="39"/>
      <c r="Q62" s="40"/>
      <c r="R62" s="151"/>
      <c r="S62" s="152"/>
    </row>
    <row r="63" spans="1:19" s="27" customFormat="1" ht="37.5" customHeight="1">
      <c r="A63" s="29" t="s">
        <v>82</v>
      </c>
      <c r="B63" s="29"/>
      <c r="C63" s="85"/>
      <c r="D63" s="29" t="s">
        <v>81</v>
      </c>
      <c r="E63" s="22" t="s">
        <v>143</v>
      </c>
      <c r="F63" s="23">
        <v>46023</v>
      </c>
      <c r="G63" s="23">
        <v>46387</v>
      </c>
      <c r="H63" s="29"/>
      <c r="I63" s="24"/>
      <c r="J63" s="24"/>
      <c r="K63" s="67">
        <v>337.26</v>
      </c>
      <c r="L63" s="24"/>
      <c r="M63" s="25"/>
      <c r="N63" s="39"/>
      <c r="O63" s="39"/>
      <c r="P63" s="39"/>
      <c r="Q63" s="40"/>
    </row>
    <row r="64" spans="1:19" s="27" customFormat="1" ht="37.5" customHeight="1">
      <c r="A64" s="29" t="s">
        <v>103</v>
      </c>
      <c r="B64" s="29"/>
      <c r="C64" s="85"/>
      <c r="D64" s="41"/>
      <c r="E64" s="22" t="s">
        <v>143</v>
      </c>
      <c r="F64" s="23">
        <v>46023</v>
      </c>
      <c r="G64" s="23">
        <v>46387</v>
      </c>
      <c r="H64" s="29"/>
      <c r="I64" s="24"/>
      <c r="J64" s="24"/>
      <c r="K64" s="25">
        <v>374.76</v>
      </c>
      <c r="L64" s="24"/>
      <c r="M64" s="25"/>
      <c r="N64" s="39"/>
      <c r="O64" s="39"/>
      <c r="P64" s="39"/>
      <c r="Q64" s="40"/>
      <c r="R64" s="151"/>
      <c r="S64" s="152"/>
    </row>
    <row r="65" spans="1:19">
      <c r="C65" s="86"/>
    </row>
    <row r="66" spans="1:19" s="9" customFormat="1" ht="12.75">
      <c r="A66" s="19" t="s">
        <v>167</v>
      </c>
      <c r="B66" s="19"/>
      <c r="C66" s="69"/>
      <c r="E66" s="16"/>
      <c r="G66" s="16"/>
      <c r="H66" s="16"/>
    </row>
    <row r="67" spans="1:19">
      <c r="A67" s="42" t="s">
        <v>168</v>
      </c>
      <c r="B67" s="42"/>
      <c r="C67" s="75"/>
      <c r="D67" s="32" t="s">
        <v>169</v>
      </c>
      <c r="E67" s="32"/>
      <c r="F67" s="33">
        <v>44795</v>
      </c>
      <c r="G67" s="44">
        <v>45890</v>
      </c>
      <c r="H67" s="32"/>
      <c r="I67" s="42"/>
      <c r="J67" s="42"/>
      <c r="K67" s="43"/>
      <c r="L67" s="42"/>
      <c r="M67" s="42"/>
      <c r="N67" s="42"/>
      <c r="O67" s="42"/>
      <c r="P67" s="42"/>
      <c r="Q67" s="42"/>
    </row>
    <row r="68" spans="1:19">
      <c r="C68" s="86"/>
    </row>
    <row r="69" spans="1:19">
      <c r="C69" s="86"/>
    </row>
    <row r="70" spans="1:19" s="9" customFormat="1" ht="12.75">
      <c r="A70" s="19" t="s">
        <v>89</v>
      </c>
      <c r="B70" s="19"/>
      <c r="C70" s="69"/>
      <c r="E70" s="16"/>
      <c r="G70" s="16"/>
      <c r="H70" s="16"/>
    </row>
    <row r="71" spans="1:19" s="27" customFormat="1" ht="25.5">
      <c r="A71" s="28" t="s">
        <v>90</v>
      </c>
      <c r="B71" s="52"/>
      <c r="C71" s="72"/>
      <c r="D71" s="29" t="s">
        <v>91</v>
      </c>
      <c r="E71" s="22"/>
      <c r="F71" s="129" t="s">
        <v>92</v>
      </c>
      <c r="G71" s="130"/>
      <c r="H71" s="22" t="s">
        <v>50</v>
      </c>
      <c r="I71" s="23"/>
      <c r="J71" s="24"/>
      <c r="K71" s="25">
        <v>0</v>
      </c>
      <c r="L71" s="24"/>
      <c r="M71" s="25">
        <v>0</v>
      </c>
      <c r="N71" s="25">
        <v>0</v>
      </c>
      <c r="O71" s="25">
        <v>0</v>
      </c>
      <c r="P71" s="25">
        <v>0</v>
      </c>
      <c r="Q71" s="26">
        <f>M71+N71+O71+P71</f>
        <v>0</v>
      </c>
    </row>
    <row r="72" spans="1:19" s="9" customFormat="1" ht="34.5" customHeight="1">
      <c r="A72" s="17" t="s">
        <v>142</v>
      </c>
      <c r="B72" s="10"/>
      <c r="C72" s="87"/>
      <c r="D72" s="5" t="s">
        <v>144</v>
      </c>
      <c r="E72" s="22" t="s">
        <v>51</v>
      </c>
      <c r="F72" s="5"/>
      <c r="G72" s="5"/>
      <c r="H72" s="10"/>
      <c r="I72" s="10"/>
      <c r="J72" s="10"/>
      <c r="K72" s="11"/>
      <c r="L72" s="10"/>
      <c r="M72" s="10"/>
      <c r="N72" s="10"/>
      <c r="O72" s="10"/>
      <c r="P72" s="10"/>
      <c r="Q72" s="10"/>
      <c r="R72" s="142"/>
      <c r="S72" s="143"/>
    </row>
    <row r="73" spans="1:19" s="9" customFormat="1" ht="12.75">
      <c r="C73" s="77"/>
      <c r="E73" s="16"/>
      <c r="G73" s="16"/>
      <c r="H73" s="16"/>
    </row>
    <row r="74" spans="1:19" s="9" customFormat="1" ht="12.75">
      <c r="C74" s="77"/>
      <c r="E74" s="16"/>
      <c r="G74" s="16"/>
      <c r="H74" s="16"/>
    </row>
    <row r="75" spans="1:19" s="9" customFormat="1" ht="12.75">
      <c r="A75" s="10" t="s">
        <v>96</v>
      </c>
      <c r="B75" s="10"/>
      <c r="C75" s="87"/>
      <c r="D75" s="5" t="s">
        <v>191</v>
      </c>
      <c r="E75" s="5" t="s">
        <v>51</v>
      </c>
      <c r="F75" s="10" t="s">
        <v>215</v>
      </c>
      <c r="G75" s="5" t="s">
        <v>216</v>
      </c>
      <c r="H75" s="22" t="s">
        <v>50</v>
      </c>
      <c r="I75" s="10"/>
      <c r="J75" s="10"/>
      <c r="K75" s="11"/>
      <c r="L75" s="10"/>
      <c r="M75" s="10"/>
      <c r="N75" s="10"/>
      <c r="O75" s="10"/>
      <c r="P75" s="10"/>
      <c r="Q75" s="10"/>
      <c r="R75" s="9" t="s">
        <v>194</v>
      </c>
    </row>
    <row r="76" spans="1:19" s="9" customFormat="1" ht="12.75">
      <c r="E76" s="16"/>
      <c r="G76" s="16"/>
      <c r="H76" s="16"/>
    </row>
    <row r="77" spans="1:19" s="9" customFormat="1" ht="25.5">
      <c r="A77" s="10" t="s">
        <v>172</v>
      </c>
      <c r="B77" s="17" t="s">
        <v>199</v>
      </c>
      <c r="C77" s="114"/>
      <c r="D77" s="5" t="s">
        <v>173</v>
      </c>
      <c r="E77" s="16"/>
      <c r="G77" s="16"/>
      <c r="H77" s="16"/>
    </row>
    <row r="78" spans="1:19" s="9" customFormat="1" ht="35.25" customHeight="1">
      <c r="A78" s="10" t="s">
        <v>172</v>
      </c>
      <c r="B78" s="17" t="s">
        <v>199</v>
      </c>
      <c r="C78" s="10"/>
      <c r="D78" s="115" t="s">
        <v>198</v>
      </c>
      <c r="E78" s="16"/>
      <c r="G78" s="16"/>
      <c r="H78" s="16"/>
    </row>
    <row r="79" spans="1:19" s="9" customFormat="1" ht="21.75" customHeight="1">
      <c r="A79" s="89" t="s">
        <v>149</v>
      </c>
      <c r="E79" s="16"/>
      <c r="G79" s="16"/>
      <c r="H79" s="16"/>
    </row>
    <row r="80" spans="1:19" s="9" customFormat="1" ht="32.25" customHeight="1">
      <c r="A80" s="88" t="s">
        <v>151</v>
      </c>
      <c r="B80" s="103" t="s">
        <v>166</v>
      </c>
      <c r="E80" s="16"/>
      <c r="G80" s="16"/>
      <c r="H80" s="16"/>
    </row>
    <row r="81" spans="1:8" s="9" customFormat="1" ht="37.5" customHeight="1">
      <c r="A81" s="88" t="s">
        <v>150</v>
      </c>
      <c r="B81" s="103" t="s">
        <v>166</v>
      </c>
      <c r="E81" s="16"/>
      <c r="G81" s="16"/>
      <c r="H81" s="16"/>
    </row>
    <row r="82" spans="1:8" s="9" customFormat="1" ht="42" customHeight="1">
      <c r="A82" s="88" t="s">
        <v>200</v>
      </c>
      <c r="B82" s="103"/>
      <c r="E82" s="16"/>
      <c r="G82" s="16"/>
      <c r="H82" s="16"/>
    </row>
    <row r="83" spans="1:8" s="9" customFormat="1" ht="12.75">
      <c r="E83" s="16"/>
      <c r="G83" s="16"/>
      <c r="H83" s="16"/>
    </row>
    <row r="85" spans="1:8" s="9" customFormat="1" ht="12.75">
      <c r="E85" s="16"/>
      <c r="G85" s="16"/>
      <c r="H85" s="16"/>
    </row>
    <row r="86" spans="1:8" s="9" customFormat="1" ht="12.75">
      <c r="E86" s="16"/>
      <c r="G86" s="16"/>
      <c r="H86" s="16"/>
    </row>
    <row r="87" spans="1:8" s="9" customFormat="1" ht="12.75">
      <c r="E87" s="16"/>
      <c r="G87" s="16"/>
      <c r="H87" s="16"/>
    </row>
    <row r="88" spans="1:8" s="9" customFormat="1" ht="12.75">
      <c r="E88" s="16"/>
      <c r="G88" s="16"/>
      <c r="H88" s="16"/>
    </row>
    <row r="89" spans="1:8" s="9" customFormat="1" ht="111" customHeight="1">
      <c r="A89" s="144" t="s">
        <v>153</v>
      </c>
      <c r="B89" s="145"/>
      <c r="C89" s="145"/>
      <c r="D89" s="145"/>
      <c r="E89" s="145"/>
      <c r="F89" s="146"/>
      <c r="G89" s="16"/>
      <c r="H89" s="16"/>
    </row>
    <row r="90" spans="1:8" s="9" customFormat="1" ht="12.75">
      <c r="E90" s="16"/>
      <c r="G90" s="16"/>
      <c r="H90" s="16"/>
    </row>
    <row r="91" spans="1:8" s="9" customFormat="1" ht="12.75">
      <c r="E91" s="16"/>
      <c r="G91" s="16"/>
      <c r="H91" s="16"/>
    </row>
    <row r="92" spans="1:8" s="9" customFormat="1" ht="12.75">
      <c r="E92" s="16"/>
      <c r="G92" s="16"/>
      <c r="H92" s="16"/>
    </row>
    <row r="93" spans="1:8" s="9" customFormat="1" ht="12.75">
      <c r="E93" s="16"/>
      <c r="G93" s="16"/>
      <c r="H93" s="16"/>
    </row>
    <row r="94" spans="1:8" s="9" customFormat="1" ht="12.75">
      <c r="E94" s="16"/>
      <c r="G94" s="16"/>
      <c r="H94" s="16"/>
    </row>
    <row r="95" spans="1:8" s="9" customFormat="1" ht="12.75">
      <c r="E95" s="16"/>
      <c r="G95" s="16"/>
      <c r="H95" s="16"/>
    </row>
    <row r="96" spans="1:8" s="9" customFormat="1" ht="12.75">
      <c r="E96" s="16"/>
      <c r="G96" s="16"/>
      <c r="H96" s="16"/>
    </row>
    <row r="97" spans="5:8" s="9" customFormat="1" ht="12.75">
      <c r="E97" s="16"/>
      <c r="G97" s="16"/>
      <c r="H97" s="16"/>
    </row>
    <row r="101" spans="5:8" ht="15">
      <c r="H101"/>
    </row>
  </sheetData>
  <mergeCells count="16">
    <mergeCell ref="F71:G71"/>
    <mergeCell ref="R72:S72"/>
    <mergeCell ref="A89:F89"/>
    <mergeCell ref="D23:E23"/>
    <mergeCell ref="R35:S35"/>
    <mergeCell ref="R57:S57"/>
    <mergeCell ref="R61:S61"/>
    <mergeCell ref="R62:S62"/>
    <mergeCell ref="R64:S64"/>
    <mergeCell ref="D6:G6"/>
    <mergeCell ref="R18:R19"/>
    <mergeCell ref="B21:B22"/>
    <mergeCell ref="C21:C22"/>
    <mergeCell ref="D21:D22"/>
    <mergeCell ref="E21:E22"/>
    <mergeCell ref="K21:K22"/>
  </mergeCells>
  <printOptions horizontalCentered="1"/>
  <pageMargins left="0.11811023622047245" right="0.11811023622047245" top="0.74803149606299213" bottom="0.74803149606299213" header="0.31496062992125984" footer="0.31496062992125984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1"/>
  <sheetViews>
    <sheetView tabSelected="1" topLeftCell="A58" workbookViewId="0">
      <selection activeCell="A34" sqref="A34"/>
    </sheetView>
  </sheetViews>
  <sheetFormatPr baseColWidth="10" defaultRowHeight="14.25"/>
  <cols>
    <col min="1" max="2" width="26.28515625" style="8" customWidth="1"/>
    <col min="3" max="3" width="17.28515625" style="8" customWidth="1"/>
    <col min="4" max="4" width="22.28515625" style="8" customWidth="1"/>
    <col min="5" max="5" width="10.7109375" style="15" customWidth="1"/>
    <col min="6" max="6" width="13" style="8" customWidth="1"/>
    <col min="7" max="7" width="13" style="15" customWidth="1"/>
    <col min="8" max="8" width="14.42578125" style="15" customWidth="1"/>
    <col min="9" max="9" width="17.42578125" style="8" customWidth="1"/>
    <col min="10" max="16384" width="11.42578125" style="8"/>
  </cols>
  <sheetData>
    <row r="1" spans="1:21">
      <c r="A1" s="2" t="s">
        <v>0</v>
      </c>
      <c r="B1" s="50"/>
      <c r="C1" s="50"/>
    </row>
    <row r="2" spans="1:21" ht="15" thickBot="1">
      <c r="A2" s="3" t="s">
        <v>1</v>
      </c>
      <c r="B2" s="50"/>
      <c r="C2" s="50"/>
    </row>
    <row r="5" spans="1:21" ht="15" thickBot="1"/>
    <row r="6" spans="1:21" s="9" customFormat="1" ht="13.5" thickBot="1">
      <c r="A6" s="4" t="s">
        <v>2</v>
      </c>
      <c r="B6" s="51"/>
      <c r="C6" s="51"/>
      <c r="D6" s="127" t="s">
        <v>100</v>
      </c>
      <c r="E6" s="127"/>
      <c r="F6" s="127"/>
      <c r="G6" s="128"/>
      <c r="H6" s="16"/>
    </row>
    <row r="7" spans="1:21" s="9" customFormat="1" ht="12.75">
      <c r="E7" s="16"/>
      <c r="G7" s="16"/>
      <c r="H7" s="16"/>
    </row>
    <row r="8" spans="1:21" s="9" customFormat="1" ht="13.5" thickBot="1">
      <c r="E8" s="16"/>
      <c r="G8" s="16"/>
      <c r="H8" s="16"/>
    </row>
    <row r="9" spans="1:21" s="9" customFormat="1" ht="76.5">
      <c r="A9" s="106" t="s">
        <v>3</v>
      </c>
      <c r="B9" s="107" t="s">
        <v>108</v>
      </c>
      <c r="C9" s="108" t="s">
        <v>145</v>
      </c>
      <c r="D9" s="46" t="s">
        <v>4</v>
      </c>
      <c r="E9" s="46" t="s">
        <v>48</v>
      </c>
      <c r="F9" s="46" t="s">
        <v>5</v>
      </c>
      <c r="G9" s="46" t="s">
        <v>6</v>
      </c>
      <c r="H9" s="46" t="s">
        <v>7</v>
      </c>
      <c r="I9" s="46" t="s">
        <v>8</v>
      </c>
      <c r="J9" s="46" t="s">
        <v>9</v>
      </c>
      <c r="K9" s="46" t="s">
        <v>10</v>
      </c>
      <c r="L9" s="46" t="s">
        <v>11</v>
      </c>
      <c r="M9" s="46" t="s">
        <v>12</v>
      </c>
      <c r="N9" s="46" t="s">
        <v>13</v>
      </c>
      <c r="O9" s="46" t="s">
        <v>14</v>
      </c>
      <c r="P9" s="47" t="s">
        <v>15</v>
      </c>
      <c r="Q9" s="48" t="s">
        <v>16</v>
      </c>
    </row>
    <row r="10" spans="1:21" s="9" customFormat="1" ht="18.75" customHeight="1">
      <c r="A10" s="19" t="s">
        <v>71</v>
      </c>
      <c r="B10" s="19"/>
      <c r="C10" s="69"/>
      <c r="E10" s="16"/>
      <c r="G10" s="16"/>
      <c r="H10" s="16"/>
    </row>
    <row r="11" spans="1:21" s="27" customFormat="1" ht="36" customHeight="1">
      <c r="A11" s="121" t="s">
        <v>31</v>
      </c>
      <c r="B11" s="52" t="s">
        <v>109</v>
      </c>
      <c r="C11" s="70">
        <v>46186</v>
      </c>
      <c r="D11" s="22" t="s">
        <v>73</v>
      </c>
      <c r="E11" s="22" t="s">
        <v>51</v>
      </c>
      <c r="F11" s="23" t="s">
        <v>218</v>
      </c>
      <c r="G11" s="23" t="s">
        <v>219</v>
      </c>
      <c r="H11" s="22" t="s">
        <v>50</v>
      </c>
      <c r="I11" s="23" t="s">
        <v>220</v>
      </c>
      <c r="J11" s="24"/>
      <c r="K11" s="25">
        <v>295.76</v>
      </c>
      <c r="L11" s="24"/>
      <c r="M11" s="25"/>
      <c r="N11" s="25"/>
      <c r="O11" s="25"/>
      <c r="P11" s="25"/>
      <c r="Q11" s="26"/>
    </row>
    <row r="12" spans="1:21" s="27" customFormat="1" ht="29.25" customHeight="1">
      <c r="A12" s="121" t="s">
        <v>72</v>
      </c>
      <c r="B12" s="52" t="s">
        <v>109</v>
      </c>
      <c r="C12" s="70" t="s">
        <v>227</v>
      </c>
      <c r="D12" s="22" t="s">
        <v>73</v>
      </c>
      <c r="E12" s="22" t="s">
        <v>51</v>
      </c>
      <c r="F12" s="23" t="s">
        <v>218</v>
      </c>
      <c r="G12" s="23" t="s">
        <v>219</v>
      </c>
      <c r="H12" s="22" t="s">
        <v>50</v>
      </c>
      <c r="I12" s="23" t="s">
        <v>221</v>
      </c>
      <c r="J12" s="24"/>
      <c r="K12" s="67">
        <v>2834.24</v>
      </c>
      <c r="L12" s="24"/>
      <c r="M12" s="25"/>
      <c r="N12" s="24"/>
      <c r="O12" s="24"/>
      <c r="P12" s="24"/>
      <c r="Q12" s="25"/>
      <c r="R12" s="66" t="s">
        <v>129</v>
      </c>
      <c r="S12" s="66"/>
      <c r="T12" s="66"/>
      <c r="U12" s="27" t="s">
        <v>175</v>
      </c>
    </row>
    <row r="13" spans="1:21" s="27" customFormat="1" ht="29.25" customHeight="1">
      <c r="A13" s="118" t="s">
        <v>188</v>
      </c>
      <c r="B13" s="52" t="s">
        <v>109</v>
      </c>
      <c r="C13" s="70" t="s">
        <v>190</v>
      </c>
      <c r="D13" s="22"/>
      <c r="E13" s="22" t="s">
        <v>51</v>
      </c>
      <c r="F13" s="23"/>
      <c r="G13" s="23"/>
      <c r="H13" s="22"/>
      <c r="I13" s="23"/>
      <c r="J13" s="24"/>
      <c r="K13" s="25"/>
      <c r="L13" s="24"/>
      <c r="M13" s="25"/>
      <c r="N13" s="24"/>
      <c r="O13" s="24"/>
      <c r="P13" s="24"/>
      <c r="Q13" s="25"/>
      <c r="R13" s="66"/>
      <c r="S13" s="66"/>
      <c r="T13" s="66"/>
    </row>
    <row r="14" spans="1:21" ht="60.75" customHeight="1">
      <c r="A14" s="122" t="s">
        <v>106</v>
      </c>
      <c r="B14" s="60" t="s">
        <v>110</v>
      </c>
      <c r="C14" s="71">
        <v>46223</v>
      </c>
      <c r="D14" s="159" t="s">
        <v>222</v>
      </c>
      <c r="E14" s="22" t="s">
        <v>51</v>
      </c>
      <c r="F14" s="33">
        <v>45292</v>
      </c>
      <c r="G14" s="44">
        <v>45657</v>
      </c>
      <c r="H14" s="22" t="s">
        <v>50</v>
      </c>
      <c r="I14" s="42"/>
      <c r="J14" s="42"/>
      <c r="K14" s="43"/>
      <c r="L14" s="42"/>
      <c r="M14" s="43"/>
      <c r="N14" s="42"/>
      <c r="O14" s="42"/>
      <c r="P14" s="42"/>
      <c r="Q14" s="42"/>
    </row>
    <row r="15" spans="1:21" ht="79.5" customHeight="1">
      <c r="A15" s="120" t="s">
        <v>113</v>
      </c>
      <c r="B15" s="60" t="s">
        <v>114</v>
      </c>
      <c r="C15" s="71">
        <v>45646</v>
      </c>
      <c r="D15" s="22" t="s">
        <v>223</v>
      </c>
      <c r="E15" s="22" t="s">
        <v>51</v>
      </c>
      <c r="F15" s="33"/>
      <c r="G15" s="44"/>
      <c r="H15" s="22" t="s">
        <v>50</v>
      </c>
      <c r="I15" s="42"/>
      <c r="J15" s="42"/>
      <c r="K15" s="43"/>
      <c r="L15" s="42"/>
      <c r="M15" s="43"/>
      <c r="N15" s="42"/>
      <c r="O15" s="42"/>
      <c r="P15" s="42"/>
      <c r="Q15" s="42"/>
    </row>
    <row r="16" spans="1:21" ht="79.5" customHeight="1">
      <c r="A16" s="122" t="s">
        <v>119</v>
      </c>
      <c r="B16" s="60" t="s">
        <v>110</v>
      </c>
      <c r="C16" s="101">
        <v>45637</v>
      </c>
      <c r="D16" s="123" t="s">
        <v>222</v>
      </c>
      <c r="E16" s="22" t="s">
        <v>51</v>
      </c>
      <c r="F16" s="33"/>
      <c r="G16" s="44"/>
      <c r="H16" s="22"/>
      <c r="I16" s="42"/>
      <c r="J16" s="42"/>
      <c r="K16" s="43"/>
      <c r="L16" s="42"/>
      <c r="M16" s="43"/>
      <c r="N16" s="42"/>
      <c r="O16" s="42"/>
      <c r="P16" s="42"/>
      <c r="Q16" s="42"/>
    </row>
    <row r="17" spans="1:19" ht="141.75" customHeight="1">
      <c r="A17" s="90" t="s">
        <v>152</v>
      </c>
      <c r="B17" s="65" t="s">
        <v>154</v>
      </c>
      <c r="C17" s="102" t="s">
        <v>209</v>
      </c>
      <c r="D17" s="32" t="s">
        <v>101</v>
      </c>
      <c r="E17" s="22" t="s">
        <v>51</v>
      </c>
      <c r="F17" s="33"/>
      <c r="G17" s="44"/>
      <c r="H17" s="22"/>
      <c r="I17" s="42"/>
      <c r="J17" s="42"/>
      <c r="K17" s="43">
        <v>344.4</v>
      </c>
      <c r="L17" s="42"/>
      <c r="M17" s="42"/>
      <c r="N17" s="42"/>
      <c r="O17" s="42"/>
      <c r="P17" s="42"/>
      <c r="Q17" s="42"/>
    </row>
    <row r="18" spans="1:19" ht="57.75" customHeight="1">
      <c r="A18" s="117" t="s">
        <v>211</v>
      </c>
      <c r="B18" s="52" t="s">
        <v>109</v>
      </c>
      <c r="C18" s="70" t="s">
        <v>204</v>
      </c>
      <c r="D18" s="32" t="s">
        <v>73</v>
      </c>
      <c r="E18" s="22" t="s">
        <v>51</v>
      </c>
      <c r="F18" s="33"/>
      <c r="G18" s="44"/>
      <c r="H18" s="22"/>
      <c r="I18" s="42"/>
      <c r="J18" s="42"/>
      <c r="K18" s="43">
        <v>465.6</v>
      </c>
      <c r="L18" s="42"/>
      <c r="M18" s="42"/>
      <c r="N18" s="42"/>
      <c r="O18" s="42"/>
      <c r="P18" s="42"/>
      <c r="Q18" s="42"/>
      <c r="R18" s="131" t="s">
        <v>210</v>
      </c>
      <c r="S18" s="116"/>
    </row>
    <row r="19" spans="1:19" ht="57.75" customHeight="1">
      <c r="A19" s="117" t="s">
        <v>212</v>
      </c>
      <c r="B19" s="52" t="s">
        <v>109</v>
      </c>
      <c r="C19" s="70" t="s">
        <v>213</v>
      </c>
      <c r="D19" s="32" t="s">
        <v>73</v>
      </c>
      <c r="E19" s="22" t="s">
        <v>51</v>
      </c>
      <c r="F19" s="33"/>
      <c r="G19" s="44"/>
      <c r="H19" s="22"/>
      <c r="I19" s="42"/>
      <c r="J19" s="42"/>
      <c r="K19" s="43">
        <v>384</v>
      </c>
      <c r="L19" s="42"/>
      <c r="M19" s="42"/>
      <c r="N19" s="42"/>
      <c r="O19" s="42"/>
      <c r="P19" s="42"/>
      <c r="Q19" s="49"/>
      <c r="R19" s="131"/>
      <c r="S19" s="116"/>
    </row>
    <row r="20" spans="1:19" s="27" customFormat="1" ht="39" customHeight="1">
      <c r="A20" s="105" t="s">
        <v>121</v>
      </c>
      <c r="B20" s="52" t="s">
        <v>112</v>
      </c>
      <c r="C20" s="72"/>
      <c r="D20" s="22" t="s">
        <v>24</v>
      </c>
      <c r="E20" s="22" t="s">
        <v>51</v>
      </c>
      <c r="F20" s="23">
        <v>45809</v>
      </c>
      <c r="G20" s="23">
        <v>46904</v>
      </c>
      <c r="H20" s="22" t="s">
        <v>50</v>
      </c>
      <c r="I20" s="22" t="s">
        <v>25</v>
      </c>
      <c r="J20" s="24"/>
      <c r="K20" s="25">
        <v>336</v>
      </c>
      <c r="L20" s="24"/>
      <c r="M20" s="25"/>
      <c r="N20" s="25"/>
      <c r="O20" s="25"/>
      <c r="P20" s="25"/>
      <c r="Q20" s="26"/>
    </row>
    <row r="21" spans="1:19" ht="33.75" customHeight="1">
      <c r="A21" s="60" t="s">
        <v>104</v>
      </c>
      <c r="B21" s="132" t="s">
        <v>111</v>
      </c>
      <c r="C21" s="134" t="s">
        <v>205</v>
      </c>
      <c r="D21" s="136" t="s">
        <v>73</v>
      </c>
      <c r="E21" s="138" t="s">
        <v>51</v>
      </c>
      <c r="F21" s="33"/>
      <c r="G21" s="44"/>
      <c r="H21" s="22"/>
      <c r="I21" s="42"/>
      <c r="J21" s="42"/>
      <c r="K21" s="140">
        <v>744</v>
      </c>
      <c r="L21" s="42"/>
      <c r="M21" s="42"/>
      <c r="N21" s="42"/>
      <c r="O21" s="42"/>
      <c r="P21" s="42"/>
      <c r="Q21" s="49"/>
    </row>
    <row r="22" spans="1:19" ht="96" customHeight="1">
      <c r="A22" s="60" t="s">
        <v>105</v>
      </c>
      <c r="B22" s="133"/>
      <c r="C22" s="135"/>
      <c r="D22" s="137"/>
      <c r="E22" s="139"/>
      <c r="F22" s="33"/>
      <c r="G22" s="44"/>
      <c r="H22" s="22"/>
      <c r="I22" s="42"/>
      <c r="J22" s="42"/>
      <c r="K22" s="141"/>
      <c r="L22" s="42"/>
      <c r="M22" s="42"/>
      <c r="N22" s="42"/>
      <c r="O22" s="42"/>
      <c r="P22" s="42"/>
      <c r="Q22" s="49"/>
    </row>
    <row r="23" spans="1:19" ht="48" customHeight="1">
      <c r="A23" s="65" t="s">
        <v>128</v>
      </c>
      <c r="B23" s="52" t="s">
        <v>109</v>
      </c>
      <c r="C23" s="72"/>
      <c r="D23" s="147" t="s">
        <v>189</v>
      </c>
      <c r="E23" s="148"/>
      <c r="F23" s="33"/>
      <c r="G23" s="44"/>
      <c r="H23" s="22"/>
      <c r="I23" s="42"/>
      <c r="J23" s="42"/>
      <c r="K23" s="43"/>
      <c r="L23" s="42"/>
      <c r="M23" s="42"/>
      <c r="N23" s="42"/>
      <c r="O23" s="42"/>
      <c r="P23" s="42"/>
      <c r="Q23" s="49"/>
    </row>
    <row r="24" spans="1:19" s="9" customFormat="1" ht="18.75" customHeight="1">
      <c r="A24" s="13" t="s">
        <v>52</v>
      </c>
      <c r="B24" s="53"/>
      <c r="C24" s="73"/>
      <c r="D24" s="5"/>
      <c r="E24" s="5"/>
      <c r="F24" s="6"/>
      <c r="G24" s="6"/>
      <c r="H24" s="5"/>
      <c r="I24" s="5"/>
      <c r="J24" s="10"/>
      <c r="K24" s="11"/>
      <c r="L24" s="10"/>
      <c r="M24" s="11"/>
      <c r="N24" s="11"/>
      <c r="O24" s="11"/>
      <c r="P24" s="11"/>
      <c r="Q24" s="12"/>
    </row>
    <row r="25" spans="1:19" s="27" customFormat="1" ht="30" customHeight="1">
      <c r="A25" s="28" t="s">
        <v>27</v>
      </c>
      <c r="B25" s="52" t="s">
        <v>109</v>
      </c>
      <c r="C25" s="72"/>
      <c r="D25" s="22" t="s">
        <v>122</v>
      </c>
      <c r="E25" s="22" t="s">
        <v>51</v>
      </c>
      <c r="F25" s="23">
        <v>45292</v>
      </c>
      <c r="G25" s="23"/>
      <c r="H25" s="22" t="s">
        <v>123</v>
      </c>
      <c r="I25" s="22"/>
      <c r="J25" s="24"/>
      <c r="K25" s="25"/>
      <c r="L25" s="24"/>
      <c r="M25" s="25"/>
      <c r="N25" s="25"/>
      <c r="O25" s="25"/>
      <c r="P25" s="25"/>
      <c r="Q25" s="26"/>
    </row>
    <row r="26" spans="1:19" s="27" customFormat="1" ht="48.75" customHeight="1">
      <c r="A26" s="28" t="s">
        <v>124</v>
      </c>
      <c r="B26" s="64" t="s">
        <v>125</v>
      </c>
      <c r="C26" s="74"/>
      <c r="D26" s="22"/>
      <c r="E26" s="22" t="s">
        <v>51</v>
      </c>
      <c r="F26" s="23"/>
      <c r="G26" s="23"/>
      <c r="H26" s="22"/>
      <c r="I26" s="22"/>
      <c r="J26" s="24"/>
      <c r="K26" s="25"/>
      <c r="L26" s="24"/>
      <c r="M26" s="25"/>
      <c r="N26" s="25"/>
      <c r="O26" s="25"/>
      <c r="P26" s="25"/>
      <c r="Q26" s="26"/>
    </row>
    <row r="27" spans="1:19" s="27" customFormat="1" ht="104.25" customHeight="1">
      <c r="A27" s="118" t="s">
        <v>146</v>
      </c>
      <c r="B27" s="52" t="s">
        <v>109</v>
      </c>
      <c r="C27" s="70">
        <v>45287</v>
      </c>
      <c r="D27" s="22"/>
      <c r="E27" s="22" t="s">
        <v>51</v>
      </c>
      <c r="F27" s="23">
        <v>44927</v>
      </c>
      <c r="G27" s="23">
        <v>46022</v>
      </c>
      <c r="H27" s="22" t="s">
        <v>50</v>
      </c>
      <c r="I27" s="22" t="s">
        <v>30</v>
      </c>
      <c r="J27" s="24"/>
      <c r="K27" s="25"/>
      <c r="L27" s="24"/>
      <c r="M27" s="25"/>
      <c r="N27" s="25"/>
      <c r="O27" s="25"/>
      <c r="P27" s="25"/>
      <c r="Q27" s="26"/>
    </row>
    <row r="28" spans="1:19" s="9" customFormat="1" ht="52.5" customHeight="1">
      <c r="A28" s="120" t="s">
        <v>171</v>
      </c>
      <c r="B28" s="52" t="s">
        <v>109</v>
      </c>
      <c r="C28" s="104">
        <v>45568</v>
      </c>
      <c r="D28" s="16"/>
      <c r="E28" s="22" t="s">
        <v>51</v>
      </c>
      <c r="F28" s="10"/>
      <c r="G28" s="5"/>
      <c r="H28" s="5"/>
      <c r="I28" s="10"/>
      <c r="J28" s="10"/>
      <c r="K28" s="11"/>
      <c r="L28" s="10"/>
      <c r="M28" s="11"/>
      <c r="N28" s="10"/>
      <c r="O28" s="10"/>
      <c r="P28" s="10"/>
      <c r="Q28" s="10"/>
    </row>
    <row r="29" spans="1:19" s="27" customFormat="1" ht="83.25" customHeight="1">
      <c r="A29" s="118" t="s">
        <v>147</v>
      </c>
      <c r="B29" s="52" t="s">
        <v>109</v>
      </c>
      <c r="C29" s="70">
        <v>45287</v>
      </c>
      <c r="D29" s="22"/>
      <c r="E29" s="22" t="s">
        <v>51</v>
      </c>
      <c r="F29" s="23">
        <v>44927</v>
      </c>
      <c r="G29" s="23">
        <v>46022</v>
      </c>
      <c r="H29" s="22" t="s">
        <v>50</v>
      </c>
      <c r="I29" s="22"/>
      <c r="J29" s="24"/>
      <c r="L29" s="24"/>
      <c r="N29" s="25"/>
      <c r="O29" s="25"/>
      <c r="P29" s="25"/>
      <c r="Q29" s="26"/>
    </row>
    <row r="30" spans="1:19" s="27" customFormat="1" ht="40.5" customHeight="1">
      <c r="A30" s="28" t="s">
        <v>115</v>
      </c>
      <c r="B30" s="52" t="s">
        <v>109</v>
      </c>
      <c r="C30" s="70" t="s">
        <v>229</v>
      </c>
      <c r="D30" s="22" t="s">
        <v>228</v>
      </c>
      <c r="E30" s="22" t="s">
        <v>51</v>
      </c>
      <c r="F30" s="23"/>
      <c r="G30" s="23"/>
      <c r="H30" s="22"/>
      <c r="I30" s="22"/>
      <c r="J30" s="24"/>
      <c r="K30" s="25">
        <v>588</v>
      </c>
      <c r="L30" s="24"/>
      <c r="M30" s="25"/>
      <c r="N30" s="25"/>
      <c r="O30" s="25"/>
      <c r="P30" s="25"/>
      <c r="Q30" s="26"/>
    </row>
    <row r="31" spans="1:19" s="27" customFormat="1" ht="95.25" customHeight="1">
      <c r="A31" s="28" t="s">
        <v>148</v>
      </c>
      <c r="B31" s="52" t="s">
        <v>109</v>
      </c>
      <c r="C31" s="70">
        <v>46262</v>
      </c>
      <c r="D31" s="22" t="s">
        <v>230</v>
      </c>
      <c r="E31" s="22" t="s">
        <v>51</v>
      </c>
      <c r="F31" s="23"/>
      <c r="G31" s="23"/>
      <c r="H31" s="22"/>
      <c r="I31" s="22"/>
      <c r="J31" s="24"/>
      <c r="K31" s="25">
        <v>986.74</v>
      </c>
      <c r="L31" s="24"/>
      <c r="M31" s="25"/>
      <c r="N31" s="25"/>
      <c r="O31" s="25"/>
      <c r="P31" s="25"/>
      <c r="Q31" s="26"/>
    </row>
    <row r="32" spans="1:19" s="27" customFormat="1" ht="25.5">
      <c r="A32" s="28" t="s">
        <v>127</v>
      </c>
      <c r="B32" s="52" t="s">
        <v>126</v>
      </c>
      <c r="C32" s="72" t="s">
        <v>231</v>
      </c>
      <c r="D32" s="22" t="s">
        <v>207</v>
      </c>
      <c r="E32" s="22" t="s">
        <v>51</v>
      </c>
      <c r="F32" s="23">
        <v>46023</v>
      </c>
      <c r="G32" s="23">
        <v>47118</v>
      </c>
      <c r="H32" s="22" t="s">
        <v>50</v>
      </c>
      <c r="I32" s="22" t="s">
        <v>206</v>
      </c>
      <c r="J32" s="24"/>
      <c r="K32" s="25">
        <v>110.05</v>
      </c>
      <c r="L32" s="24"/>
      <c r="M32" s="25"/>
      <c r="N32" s="25"/>
      <c r="O32" s="25"/>
      <c r="P32" s="25"/>
      <c r="Q32" s="26"/>
      <c r="R32" s="27" t="s">
        <v>208</v>
      </c>
    </row>
    <row r="33" spans="1:23" ht="26.25" customHeight="1">
      <c r="A33" s="8" t="s">
        <v>85</v>
      </c>
      <c r="B33" s="42"/>
      <c r="C33" s="75"/>
      <c r="D33" s="32"/>
      <c r="E33" s="22" t="s">
        <v>51</v>
      </c>
      <c r="F33" s="44"/>
      <c r="G33" s="45"/>
      <c r="H33" s="22" t="s">
        <v>50</v>
      </c>
      <c r="I33" s="42"/>
      <c r="J33" s="42"/>
      <c r="K33" s="25"/>
      <c r="L33" s="42"/>
      <c r="M33" s="25"/>
      <c r="N33" s="25"/>
      <c r="O33" s="25"/>
      <c r="P33" s="25"/>
      <c r="Q33" s="26"/>
    </row>
    <row r="34" spans="1:23" s="9" customFormat="1" ht="55.5" customHeight="1">
      <c r="A34" s="119" t="s">
        <v>53</v>
      </c>
      <c r="B34" s="93"/>
      <c r="C34" s="76"/>
      <c r="D34" s="17" t="s">
        <v>54</v>
      </c>
      <c r="E34" s="22" t="s">
        <v>51</v>
      </c>
      <c r="F34" s="6">
        <v>44562</v>
      </c>
      <c r="G34" s="6">
        <v>46022</v>
      </c>
      <c r="H34" s="5"/>
      <c r="I34" s="6" t="s">
        <v>55</v>
      </c>
      <c r="J34" s="10"/>
      <c r="K34" s="25">
        <f t="shared" ref="K34" si="0">Q34</f>
        <v>0</v>
      </c>
      <c r="L34" s="10"/>
      <c r="M34" s="25">
        <v>0</v>
      </c>
      <c r="N34" s="25">
        <v>0</v>
      </c>
      <c r="O34" s="25">
        <v>0</v>
      </c>
      <c r="P34" s="25">
        <v>0</v>
      </c>
      <c r="Q34" s="26">
        <f t="shared" ref="Q34" si="1">M34+N34+O34+P34</f>
        <v>0</v>
      </c>
    </row>
    <row r="35" spans="1:23" s="9" customFormat="1" ht="69.75" customHeight="1">
      <c r="A35" s="91" t="s">
        <v>156</v>
      </c>
      <c r="B35" s="95" t="s">
        <v>155</v>
      </c>
      <c r="C35" s="77"/>
      <c r="D35" s="17" t="s">
        <v>141</v>
      </c>
      <c r="E35" s="22" t="s">
        <v>51</v>
      </c>
      <c r="F35" s="6"/>
      <c r="G35" s="6"/>
      <c r="H35" s="5"/>
      <c r="I35" s="6"/>
      <c r="J35" s="10"/>
      <c r="K35" s="25"/>
      <c r="L35" s="11"/>
      <c r="M35" s="25"/>
      <c r="N35" s="25"/>
      <c r="O35" s="25"/>
      <c r="P35" s="25"/>
      <c r="Q35" s="26"/>
      <c r="R35" s="149" t="s">
        <v>182</v>
      </c>
      <c r="S35" s="150"/>
    </row>
    <row r="36" spans="1:23" s="9" customFormat="1" ht="24" customHeight="1">
      <c r="A36" s="92" t="s">
        <v>49</v>
      </c>
      <c r="B36" s="94"/>
      <c r="C36" s="73"/>
      <c r="D36" s="5"/>
      <c r="E36" s="5"/>
      <c r="F36" s="6"/>
      <c r="G36" s="6"/>
      <c r="H36" s="5"/>
      <c r="I36" s="6"/>
      <c r="J36" s="10"/>
      <c r="K36" s="11"/>
      <c r="L36" s="10"/>
      <c r="M36" s="11"/>
      <c r="N36" s="11"/>
      <c r="O36" s="11"/>
      <c r="P36" s="11"/>
      <c r="Q36" s="12"/>
    </row>
    <row r="37" spans="1:23" s="27" customFormat="1" ht="34.5" customHeight="1">
      <c r="A37" s="21" t="s">
        <v>217</v>
      </c>
      <c r="B37" s="54"/>
      <c r="C37" s="78"/>
      <c r="D37" s="22"/>
      <c r="E37" s="22" t="s">
        <v>51</v>
      </c>
      <c r="F37" s="23"/>
      <c r="G37" s="23"/>
      <c r="H37" s="22"/>
      <c r="I37" s="22"/>
      <c r="J37" s="24"/>
      <c r="K37" s="25"/>
      <c r="L37" s="24"/>
      <c r="M37" s="25"/>
      <c r="N37" s="25"/>
      <c r="O37" s="25"/>
      <c r="P37" s="25"/>
      <c r="Q37" s="26"/>
    </row>
    <row r="38" spans="1:23" s="27" customFormat="1" ht="34.5" customHeight="1">
      <c r="A38" s="28" t="s">
        <v>39</v>
      </c>
      <c r="B38" s="52"/>
      <c r="C38" s="72"/>
      <c r="D38" s="22" t="s">
        <v>183</v>
      </c>
      <c r="E38" s="22" t="s">
        <v>51</v>
      </c>
      <c r="F38" s="23">
        <v>45658</v>
      </c>
      <c r="G38" s="23">
        <v>46752</v>
      </c>
      <c r="H38" s="22" t="s">
        <v>50</v>
      </c>
      <c r="I38" s="22"/>
      <c r="J38" s="24"/>
      <c r="K38" s="25">
        <v>0</v>
      </c>
      <c r="L38" s="24"/>
      <c r="M38" s="25">
        <v>0</v>
      </c>
      <c r="N38" s="25">
        <v>0</v>
      </c>
      <c r="O38" s="25">
        <v>0</v>
      </c>
      <c r="P38" s="25">
        <v>0</v>
      </c>
      <c r="Q38" s="26">
        <f t="shared" ref="Q38" si="2">M38+N38+O38+P38</f>
        <v>0</v>
      </c>
    </row>
    <row r="39" spans="1:23" s="27" customFormat="1" ht="34.5" customHeight="1">
      <c r="A39" s="28"/>
      <c r="B39" s="52"/>
      <c r="C39" s="72"/>
      <c r="D39" s="22"/>
      <c r="E39" s="22"/>
      <c r="F39" s="23"/>
      <c r="G39" s="23"/>
      <c r="H39" s="22"/>
      <c r="I39" s="22"/>
      <c r="J39" s="24"/>
      <c r="K39" s="25"/>
      <c r="L39" s="24"/>
      <c r="M39" s="25"/>
      <c r="N39" s="25"/>
      <c r="O39" s="25"/>
      <c r="P39" s="25"/>
      <c r="Q39" s="26"/>
    </row>
    <row r="40" spans="1:23" s="27" customFormat="1" ht="34.5" customHeight="1">
      <c r="A40" s="28"/>
      <c r="B40" s="52"/>
      <c r="C40" s="72"/>
      <c r="D40" s="22"/>
      <c r="E40" s="22"/>
      <c r="F40" s="23"/>
      <c r="G40" s="23"/>
      <c r="H40" s="22"/>
      <c r="I40" s="22"/>
      <c r="J40" s="24"/>
      <c r="K40" s="25"/>
      <c r="L40" s="24"/>
      <c r="M40" s="25"/>
      <c r="N40" s="25"/>
      <c r="O40" s="25"/>
      <c r="P40" s="25"/>
      <c r="Q40" s="26"/>
    </row>
    <row r="41" spans="1:23" s="27" customFormat="1" ht="34.5" customHeight="1">
      <c r="A41" s="121" t="s">
        <v>93</v>
      </c>
      <c r="B41" s="52"/>
      <c r="C41" s="72"/>
      <c r="D41" s="22" t="s">
        <v>94</v>
      </c>
      <c r="E41" s="22" t="s">
        <v>51</v>
      </c>
      <c r="F41" s="23">
        <v>45748</v>
      </c>
      <c r="G41" s="23" t="s">
        <v>224</v>
      </c>
      <c r="H41" s="22" t="s">
        <v>50</v>
      </c>
      <c r="I41" s="22" t="s">
        <v>225</v>
      </c>
      <c r="J41" s="24"/>
      <c r="K41" s="25">
        <f>Q41</f>
        <v>0</v>
      </c>
      <c r="L41" s="24"/>
      <c r="M41" s="25"/>
      <c r="N41" s="25"/>
      <c r="O41" s="67"/>
      <c r="P41" s="25"/>
      <c r="Q41" s="26"/>
    </row>
    <row r="42" spans="1:23" s="27" customFormat="1" ht="30" customHeight="1">
      <c r="A42" s="21" t="s">
        <v>42</v>
      </c>
      <c r="B42" s="54"/>
      <c r="C42" s="78"/>
      <c r="D42" s="29"/>
      <c r="E42" s="22"/>
      <c r="F42" s="23"/>
      <c r="G42" s="23"/>
      <c r="H42" s="23"/>
      <c r="I42" s="22"/>
      <c r="J42" s="24"/>
      <c r="K42" s="25"/>
      <c r="L42" s="24"/>
      <c r="M42" s="25"/>
      <c r="N42" s="25"/>
      <c r="O42" s="25"/>
      <c r="P42" s="25"/>
      <c r="Q42" s="26"/>
    </row>
    <row r="43" spans="1:23" s="27" customFormat="1" ht="57.75" customHeight="1">
      <c r="A43" s="28" t="s">
        <v>157</v>
      </c>
      <c r="B43" s="99" t="s">
        <v>161</v>
      </c>
      <c r="C43" s="78"/>
      <c r="D43" s="29" t="s">
        <v>29</v>
      </c>
      <c r="E43" s="22"/>
      <c r="F43" s="23">
        <v>45163</v>
      </c>
      <c r="G43" s="23"/>
      <c r="H43" s="23"/>
      <c r="I43" s="22"/>
      <c r="J43" s="24"/>
      <c r="K43" s="25"/>
      <c r="L43" s="24"/>
      <c r="M43" s="25"/>
      <c r="N43" s="25"/>
      <c r="O43" s="25"/>
      <c r="P43" s="25"/>
      <c r="Q43" s="26"/>
    </row>
    <row r="44" spans="1:23" s="27" customFormat="1" ht="30" customHeight="1">
      <c r="A44" s="28" t="s">
        <v>158</v>
      </c>
      <c r="B44" s="98" t="s">
        <v>164</v>
      </c>
      <c r="C44" s="78"/>
      <c r="D44" s="29" t="s">
        <v>29</v>
      </c>
      <c r="E44" s="22"/>
      <c r="F44" s="23">
        <v>45040</v>
      </c>
      <c r="G44" s="23"/>
      <c r="H44" s="23"/>
      <c r="I44" s="22"/>
      <c r="J44" s="24"/>
      <c r="K44" s="25"/>
      <c r="L44" s="24"/>
      <c r="M44" s="25"/>
      <c r="N44" s="25"/>
      <c r="O44" s="25"/>
      <c r="P44" s="25"/>
      <c r="Q44" s="26"/>
    </row>
    <row r="45" spans="1:23" s="27" customFormat="1" ht="56.25" customHeight="1">
      <c r="A45" s="28" t="s">
        <v>159</v>
      </c>
      <c r="B45" s="54"/>
      <c r="C45" s="78"/>
      <c r="D45" s="97" t="s">
        <v>160</v>
      </c>
      <c r="E45" s="22"/>
      <c r="F45" s="23"/>
      <c r="G45" s="23"/>
      <c r="H45" s="23"/>
      <c r="I45" s="22"/>
      <c r="J45" s="24"/>
      <c r="K45" s="25"/>
      <c r="L45" s="24"/>
      <c r="M45" s="25"/>
      <c r="N45" s="25"/>
      <c r="O45" s="25"/>
      <c r="P45" s="25"/>
      <c r="Q45" s="26"/>
    </row>
    <row r="46" spans="1:23" s="27" customFormat="1" ht="25.5">
      <c r="A46" s="28" t="s">
        <v>22</v>
      </c>
      <c r="B46" s="52"/>
      <c r="C46" s="72"/>
      <c r="D46" s="22" t="s">
        <v>185</v>
      </c>
      <c r="E46" s="22" t="s">
        <v>51</v>
      </c>
      <c r="F46" s="23">
        <v>45664</v>
      </c>
      <c r="G46" s="23">
        <v>46758</v>
      </c>
      <c r="H46" s="22" t="s">
        <v>50</v>
      </c>
      <c r="I46" s="22"/>
      <c r="J46" s="24"/>
      <c r="K46" s="25">
        <v>462.17</v>
      </c>
      <c r="L46" s="24"/>
      <c r="M46" s="25"/>
      <c r="N46" s="25"/>
      <c r="O46" s="25"/>
      <c r="P46" s="25"/>
      <c r="Q46" s="26"/>
      <c r="R46" s="110"/>
      <c r="S46" s="110"/>
      <c r="T46" s="110"/>
      <c r="U46" s="110"/>
      <c r="V46" s="110"/>
      <c r="W46" s="110"/>
    </row>
    <row r="47" spans="1:23" s="27" customFormat="1" ht="28.5" customHeight="1">
      <c r="A47" s="28" t="s">
        <v>56</v>
      </c>
      <c r="B47" s="52"/>
      <c r="C47" s="72"/>
      <c r="D47" s="22" t="s">
        <v>57</v>
      </c>
      <c r="E47" s="22" t="s">
        <v>51</v>
      </c>
      <c r="F47" s="23">
        <v>45259</v>
      </c>
      <c r="G47" s="23">
        <v>46719</v>
      </c>
      <c r="H47" s="22" t="s">
        <v>50</v>
      </c>
      <c r="I47" s="22" t="s">
        <v>58</v>
      </c>
      <c r="J47" s="24"/>
      <c r="K47" s="25"/>
      <c r="L47" s="24"/>
      <c r="M47" s="25"/>
      <c r="N47" s="25"/>
      <c r="O47" s="25"/>
      <c r="P47" s="25"/>
      <c r="Q47" s="26"/>
      <c r="R47" s="110"/>
      <c r="S47" s="110"/>
      <c r="T47" s="110"/>
      <c r="U47" s="110"/>
      <c r="V47" s="110"/>
      <c r="W47" s="110"/>
    </row>
    <row r="48" spans="1:23" s="27" customFormat="1" ht="28.5" customHeight="1">
      <c r="A48" s="28" t="s">
        <v>60</v>
      </c>
      <c r="B48" s="52"/>
      <c r="C48" s="72"/>
      <c r="D48" s="22" t="s">
        <v>59</v>
      </c>
      <c r="E48" s="22" t="s">
        <v>51</v>
      </c>
      <c r="F48" s="23">
        <v>44927</v>
      </c>
      <c r="G48" s="23">
        <v>38717</v>
      </c>
      <c r="H48" s="22" t="s">
        <v>50</v>
      </c>
      <c r="I48" s="22" t="s">
        <v>61</v>
      </c>
      <c r="J48" s="24"/>
      <c r="K48" s="25">
        <f t="shared" ref="K48" si="3">Q48</f>
        <v>0</v>
      </c>
      <c r="L48" s="24"/>
      <c r="M48" s="25">
        <v>0</v>
      </c>
      <c r="N48" s="25">
        <v>0</v>
      </c>
      <c r="O48" s="25">
        <v>0</v>
      </c>
      <c r="P48" s="25">
        <v>0</v>
      </c>
      <c r="Q48" s="26">
        <f t="shared" ref="Q48" si="4">M48+N48+O48+P48</f>
        <v>0</v>
      </c>
    </row>
    <row r="49" spans="1:19">
      <c r="A49" s="59" t="s">
        <v>187</v>
      </c>
      <c r="B49" s="20"/>
      <c r="C49" s="79"/>
      <c r="D49" s="32" t="s">
        <v>88</v>
      </c>
      <c r="E49" s="22" t="s">
        <v>51</v>
      </c>
      <c r="F49" s="33">
        <v>45533</v>
      </c>
      <c r="G49" s="44">
        <v>46627</v>
      </c>
      <c r="H49" s="22" t="s">
        <v>50</v>
      </c>
      <c r="I49" s="42"/>
      <c r="J49" s="42"/>
      <c r="K49" s="43"/>
      <c r="L49" s="42"/>
      <c r="M49" s="43"/>
      <c r="N49" s="42"/>
      <c r="O49" s="42"/>
      <c r="P49" s="42"/>
      <c r="Q49" s="42"/>
    </row>
    <row r="50" spans="1:19" s="9" customFormat="1" ht="12.75">
      <c r="A50" s="14"/>
      <c r="B50" s="55"/>
      <c r="C50" s="80"/>
      <c r="D50" s="10"/>
      <c r="E50" s="5"/>
      <c r="F50" s="10"/>
      <c r="G50" s="5"/>
      <c r="H50" s="5"/>
      <c r="I50" s="10"/>
      <c r="J50" s="10"/>
      <c r="K50" s="11"/>
      <c r="L50" s="10"/>
      <c r="M50" s="11"/>
      <c r="N50" s="11"/>
      <c r="O50" s="11"/>
      <c r="P50" s="11"/>
      <c r="Q50" s="12"/>
    </row>
    <row r="51" spans="1:19" s="9" customFormat="1" ht="12.75">
      <c r="A51" s="18" t="s">
        <v>62</v>
      </c>
      <c r="B51" s="56"/>
      <c r="C51" s="81"/>
      <c r="D51" s="10"/>
      <c r="E51" s="5"/>
      <c r="F51" s="10"/>
      <c r="G51" s="5"/>
      <c r="H51" s="5"/>
      <c r="I51" s="10"/>
      <c r="J51" s="10"/>
      <c r="K51" s="11"/>
      <c r="L51" s="10"/>
      <c r="M51" s="11"/>
      <c r="N51" s="11"/>
      <c r="O51" s="11"/>
      <c r="P51" s="11"/>
      <c r="Q51" s="12"/>
    </row>
    <row r="52" spans="1:19" s="27" customFormat="1" ht="30" customHeight="1">
      <c r="A52" s="21" t="s">
        <v>17</v>
      </c>
      <c r="B52" s="54"/>
      <c r="C52" s="78" t="s">
        <v>214</v>
      </c>
      <c r="D52" s="22" t="s">
        <v>21</v>
      </c>
      <c r="E52" s="22" t="s">
        <v>143</v>
      </c>
      <c r="F52" s="23">
        <v>45748</v>
      </c>
      <c r="G52" s="23">
        <v>46022</v>
      </c>
      <c r="H52" s="22" t="s">
        <v>50</v>
      </c>
      <c r="I52" s="23" t="s">
        <v>18</v>
      </c>
      <c r="J52" s="24"/>
      <c r="K52" s="25">
        <v>0</v>
      </c>
      <c r="L52" s="24"/>
      <c r="M52" s="25"/>
      <c r="N52" s="25"/>
      <c r="O52" s="25"/>
      <c r="P52" s="25"/>
      <c r="Q52" s="26"/>
    </row>
    <row r="53" spans="1:19" s="27" customFormat="1" ht="35.25" customHeight="1">
      <c r="A53" s="28" t="s">
        <v>63</v>
      </c>
      <c r="B53" s="100" t="s">
        <v>163</v>
      </c>
      <c r="C53" s="72"/>
      <c r="D53" s="52" t="s">
        <v>162</v>
      </c>
      <c r="E53" s="22" t="s">
        <v>143</v>
      </c>
      <c r="F53" s="23">
        <v>44431</v>
      </c>
      <c r="G53" s="23"/>
      <c r="H53" s="22"/>
      <c r="I53" s="22" t="s">
        <v>46</v>
      </c>
      <c r="J53" s="24"/>
      <c r="K53" s="25"/>
      <c r="L53" s="24"/>
      <c r="M53" s="25"/>
      <c r="N53" s="25"/>
      <c r="O53" s="25"/>
      <c r="P53" s="25"/>
      <c r="Q53" s="26"/>
    </row>
    <row r="54" spans="1:19" s="27" customFormat="1" ht="27" customHeight="1">
      <c r="A54" s="21" t="s">
        <v>64</v>
      </c>
      <c r="B54" s="54"/>
      <c r="C54" s="96">
        <v>45481</v>
      </c>
      <c r="D54" s="17" t="s">
        <v>136</v>
      </c>
      <c r="E54" s="22" t="s">
        <v>143</v>
      </c>
      <c r="F54" s="5"/>
      <c r="G54" s="5"/>
      <c r="H54" s="10"/>
      <c r="I54" s="10"/>
      <c r="J54" s="9"/>
      <c r="K54" s="11"/>
      <c r="L54" s="10"/>
      <c r="M54" s="11"/>
      <c r="N54" s="11"/>
      <c r="O54" s="11"/>
      <c r="P54" s="11"/>
      <c r="Q54" s="12"/>
    </row>
    <row r="55" spans="1:19" s="27" customFormat="1" ht="25.5" customHeight="1">
      <c r="A55" s="30" t="s">
        <v>77</v>
      </c>
      <c r="B55" s="57"/>
      <c r="C55" s="82"/>
      <c r="D55" s="22"/>
      <c r="E55" s="22" t="s">
        <v>143</v>
      </c>
      <c r="F55" s="31"/>
      <c r="G55" s="23"/>
      <c r="H55" s="22" t="s">
        <v>50</v>
      </c>
      <c r="I55" s="22" t="s">
        <v>80</v>
      </c>
      <c r="J55" s="24"/>
      <c r="K55" s="11"/>
      <c r="L55" s="24"/>
      <c r="M55" s="25"/>
      <c r="N55" s="25"/>
      <c r="O55" s="25"/>
      <c r="P55" s="25"/>
      <c r="Q55" s="26"/>
    </row>
    <row r="56" spans="1:19" s="9" customFormat="1" ht="30" customHeight="1">
      <c r="A56" s="14" t="s">
        <v>78</v>
      </c>
      <c r="B56" s="55"/>
      <c r="C56" s="80"/>
      <c r="D56" s="5" t="s">
        <v>76</v>
      </c>
      <c r="E56" s="22" t="s">
        <v>143</v>
      </c>
      <c r="F56" s="10"/>
      <c r="G56" s="5"/>
      <c r="H56" s="5"/>
      <c r="I56" s="10"/>
      <c r="J56" s="10"/>
      <c r="K56" s="11"/>
      <c r="L56" s="10"/>
      <c r="M56" s="25"/>
      <c r="N56" s="25"/>
      <c r="O56" s="25"/>
      <c r="P56" s="25"/>
      <c r="Q56" s="26"/>
    </row>
    <row r="57" spans="1:19" s="9" customFormat="1" ht="30" customHeight="1">
      <c r="A57" s="62" t="s">
        <v>132</v>
      </c>
      <c r="B57" s="5" t="s">
        <v>134</v>
      </c>
      <c r="C57" s="83"/>
      <c r="D57" s="17" t="s">
        <v>133</v>
      </c>
      <c r="E57" s="22" t="s">
        <v>143</v>
      </c>
      <c r="F57" s="6">
        <v>46023</v>
      </c>
      <c r="G57" s="6">
        <v>46387</v>
      </c>
      <c r="H57" s="10"/>
      <c r="I57" s="10"/>
      <c r="J57" s="11"/>
      <c r="K57" s="11">
        <v>154.5</v>
      </c>
      <c r="L57" s="11"/>
      <c r="M57" s="11"/>
      <c r="N57" s="11"/>
      <c r="O57" s="11"/>
      <c r="P57" s="25"/>
      <c r="Q57" s="26"/>
      <c r="R57" s="151"/>
      <c r="S57" s="143"/>
    </row>
    <row r="58" spans="1:19" s="9" customFormat="1" ht="30" customHeight="1">
      <c r="A58" s="62" t="s">
        <v>137</v>
      </c>
      <c r="C58" s="77"/>
      <c r="D58" s="17" t="s">
        <v>138</v>
      </c>
      <c r="E58" s="22" t="s">
        <v>143</v>
      </c>
      <c r="F58" s="10"/>
      <c r="G58" s="5"/>
      <c r="H58" s="5"/>
      <c r="I58" s="10"/>
      <c r="J58" s="10"/>
      <c r="K58" s="11"/>
      <c r="L58" s="10"/>
      <c r="M58" s="11">
        <v>0</v>
      </c>
      <c r="N58" s="11">
        <v>0</v>
      </c>
      <c r="O58" s="11">
        <v>0</v>
      </c>
      <c r="P58" s="11">
        <v>0</v>
      </c>
      <c r="Q58" s="12">
        <f t="shared" ref="Q58" si="5">SUM(M58:P58)</f>
        <v>0</v>
      </c>
    </row>
    <row r="59" spans="1:19" s="9" customFormat="1" ht="12.75">
      <c r="A59" s="18" t="s">
        <v>65</v>
      </c>
      <c r="B59" s="56"/>
      <c r="C59" s="81"/>
      <c r="D59" s="10"/>
      <c r="E59" s="22"/>
      <c r="F59" s="10"/>
      <c r="G59" s="5"/>
      <c r="H59" s="5"/>
      <c r="I59" s="10"/>
      <c r="J59" s="10"/>
      <c r="K59" s="11"/>
      <c r="L59" s="10"/>
      <c r="M59" s="11"/>
      <c r="N59" s="11"/>
      <c r="O59" s="11"/>
      <c r="P59" s="11"/>
      <c r="Q59" s="12"/>
    </row>
    <row r="60" spans="1:19" s="27" customFormat="1" ht="48.75" customHeight="1">
      <c r="A60" s="28" t="s">
        <v>68</v>
      </c>
      <c r="B60" s="52" t="s">
        <v>203</v>
      </c>
      <c r="C60" s="72"/>
      <c r="D60" s="22" t="s">
        <v>66</v>
      </c>
      <c r="E60" s="22" t="s">
        <v>143</v>
      </c>
      <c r="F60" s="23">
        <v>45901</v>
      </c>
      <c r="G60" s="23">
        <v>46265</v>
      </c>
      <c r="H60" s="29" t="s">
        <v>67</v>
      </c>
      <c r="I60" s="22"/>
      <c r="J60" s="24"/>
      <c r="K60" s="25">
        <v>1643.92</v>
      </c>
      <c r="L60" s="25"/>
      <c r="M60" s="25"/>
      <c r="N60" s="25"/>
      <c r="O60" s="25"/>
      <c r="P60" s="25"/>
      <c r="Q60" s="26"/>
    </row>
    <row r="61" spans="1:19" s="27" customFormat="1" ht="47.25" customHeight="1">
      <c r="A61" s="28" t="s">
        <v>102</v>
      </c>
      <c r="B61" s="52"/>
      <c r="C61" s="72"/>
      <c r="D61" s="22" t="s">
        <v>66</v>
      </c>
      <c r="E61" s="22" t="s">
        <v>143</v>
      </c>
      <c r="F61" s="23">
        <v>46023</v>
      </c>
      <c r="G61" s="23">
        <v>46387</v>
      </c>
      <c r="H61" s="29" t="s">
        <v>67</v>
      </c>
      <c r="I61" s="24"/>
      <c r="J61" s="24"/>
      <c r="K61" s="25">
        <v>792</v>
      </c>
      <c r="L61" s="24"/>
      <c r="M61" s="25"/>
      <c r="N61" s="25"/>
      <c r="O61" s="25"/>
      <c r="P61" s="25"/>
      <c r="Q61" s="26"/>
      <c r="R61" s="151"/>
      <c r="S61" s="143"/>
    </row>
    <row r="62" spans="1:19" s="27" customFormat="1" ht="30" customHeight="1">
      <c r="A62" s="34" t="s">
        <v>176</v>
      </c>
      <c r="B62" s="58"/>
      <c r="C62" s="84"/>
      <c r="D62" s="113" t="s">
        <v>70</v>
      </c>
      <c r="E62" s="22" t="s">
        <v>143</v>
      </c>
      <c r="F62" s="23">
        <v>46023</v>
      </c>
      <c r="G62" s="23">
        <v>46387</v>
      </c>
      <c r="H62" s="38" t="s">
        <v>67</v>
      </c>
      <c r="I62" s="35"/>
      <c r="J62" s="35"/>
      <c r="K62" s="39">
        <v>512.64</v>
      </c>
      <c r="L62" s="35"/>
      <c r="M62" s="39"/>
      <c r="N62" s="39"/>
      <c r="O62" s="39"/>
      <c r="P62" s="39"/>
      <c r="Q62" s="40"/>
      <c r="R62" s="151"/>
      <c r="S62" s="152"/>
    </row>
    <row r="63" spans="1:19" s="27" customFormat="1" ht="37.5" customHeight="1">
      <c r="A63" s="29" t="s">
        <v>82</v>
      </c>
      <c r="B63" s="29"/>
      <c r="C63" s="85"/>
      <c r="D63" s="29" t="s">
        <v>81</v>
      </c>
      <c r="E63" s="22" t="s">
        <v>143</v>
      </c>
      <c r="F63" s="23">
        <v>46023</v>
      </c>
      <c r="G63" s="23">
        <v>46387</v>
      </c>
      <c r="H63" s="29"/>
      <c r="I63" s="24"/>
      <c r="J63" s="24"/>
      <c r="K63" s="67">
        <v>337.26</v>
      </c>
      <c r="L63" s="24"/>
      <c r="M63" s="25"/>
      <c r="N63" s="39"/>
      <c r="O63" s="39"/>
      <c r="P63" s="39"/>
      <c r="Q63" s="40"/>
    </row>
    <row r="64" spans="1:19" s="27" customFormat="1" ht="37.5" customHeight="1">
      <c r="A64" s="29" t="s">
        <v>103</v>
      </c>
      <c r="B64" s="29"/>
      <c r="C64" s="85"/>
      <c r="D64" s="41"/>
      <c r="E64" s="22" t="s">
        <v>143</v>
      </c>
      <c r="F64" s="23">
        <v>46023</v>
      </c>
      <c r="G64" s="23">
        <v>46387</v>
      </c>
      <c r="H64" s="29"/>
      <c r="I64" s="24"/>
      <c r="J64" s="24"/>
      <c r="K64" s="25">
        <v>374.76</v>
      </c>
      <c r="L64" s="24"/>
      <c r="M64" s="25"/>
      <c r="N64" s="39"/>
      <c r="O64" s="39"/>
      <c r="P64" s="39"/>
      <c r="Q64" s="40"/>
      <c r="R64" s="151"/>
      <c r="S64" s="152"/>
    </row>
    <row r="65" spans="1:19">
      <c r="C65" s="86"/>
    </row>
    <row r="66" spans="1:19" s="9" customFormat="1" ht="12.75">
      <c r="A66" s="19" t="s">
        <v>167</v>
      </c>
      <c r="B66" s="19"/>
      <c r="C66" s="69"/>
      <c r="E66" s="16"/>
      <c r="G66" s="16"/>
      <c r="H66" s="16"/>
    </row>
    <row r="67" spans="1:19">
      <c r="A67" s="42" t="s">
        <v>168</v>
      </c>
      <c r="B67" s="42"/>
      <c r="C67" s="75"/>
      <c r="D67" s="32" t="s">
        <v>169</v>
      </c>
      <c r="E67" s="32"/>
      <c r="F67" s="33">
        <v>44795</v>
      </c>
      <c r="G67" s="44">
        <v>45890</v>
      </c>
      <c r="H67" s="32"/>
      <c r="I67" s="42"/>
      <c r="J67" s="42"/>
      <c r="K67" s="43"/>
      <c r="L67" s="42"/>
      <c r="M67" s="42"/>
      <c r="N67" s="42"/>
      <c r="O67" s="42"/>
      <c r="P67" s="42"/>
      <c r="Q67" s="42"/>
    </row>
    <row r="68" spans="1:19">
      <c r="C68" s="86"/>
    </row>
    <row r="69" spans="1:19">
      <c r="C69" s="86"/>
    </row>
    <row r="70" spans="1:19" s="9" customFormat="1" ht="12.75">
      <c r="A70" s="19" t="s">
        <v>89</v>
      </c>
      <c r="B70" s="19"/>
      <c r="C70" s="69"/>
      <c r="E70" s="16"/>
      <c r="G70" s="16"/>
      <c r="H70" s="16"/>
    </row>
    <row r="71" spans="1:19" s="27" customFormat="1" ht="25.5">
      <c r="A71" s="28" t="s">
        <v>90</v>
      </c>
      <c r="B71" s="52"/>
      <c r="C71" s="72"/>
      <c r="D71" s="29" t="s">
        <v>91</v>
      </c>
      <c r="E71" s="22"/>
      <c r="F71" s="129" t="s">
        <v>92</v>
      </c>
      <c r="G71" s="130"/>
      <c r="H71" s="22" t="s">
        <v>50</v>
      </c>
      <c r="I71" s="23"/>
      <c r="J71" s="24"/>
      <c r="K71" s="25">
        <v>0</v>
      </c>
      <c r="L71" s="24"/>
      <c r="M71" s="25">
        <v>0</v>
      </c>
      <c r="N71" s="25">
        <v>0</v>
      </c>
      <c r="O71" s="25">
        <v>0</v>
      </c>
      <c r="P71" s="25">
        <v>0</v>
      </c>
      <c r="Q71" s="26">
        <f>M71+N71+O71+P71</f>
        <v>0</v>
      </c>
    </row>
    <row r="72" spans="1:19" s="9" customFormat="1" ht="34.5" customHeight="1">
      <c r="A72" s="17" t="s">
        <v>142</v>
      </c>
      <c r="B72" s="10"/>
      <c r="C72" s="87"/>
      <c r="D72" s="5" t="s">
        <v>144</v>
      </c>
      <c r="E72" s="22" t="s">
        <v>51</v>
      </c>
      <c r="F72" s="5"/>
      <c r="G72" s="5"/>
      <c r="H72" s="10"/>
      <c r="I72" s="10"/>
      <c r="J72" s="10"/>
      <c r="K72" s="11"/>
      <c r="L72" s="10"/>
      <c r="M72" s="10"/>
      <c r="N72" s="10"/>
      <c r="O72" s="10"/>
      <c r="P72" s="10"/>
      <c r="Q72" s="10"/>
      <c r="R72" s="142"/>
      <c r="S72" s="143"/>
    </row>
    <row r="73" spans="1:19" s="9" customFormat="1" ht="12.75">
      <c r="C73" s="77"/>
      <c r="E73" s="16"/>
      <c r="G73" s="16"/>
      <c r="H73" s="16"/>
    </row>
    <row r="74" spans="1:19" s="9" customFormat="1" ht="12.75">
      <c r="C74" s="77"/>
      <c r="E74" s="16"/>
      <c r="G74" s="16"/>
      <c r="H74" s="16"/>
    </row>
    <row r="75" spans="1:19" s="9" customFormat="1" ht="12.75">
      <c r="A75" s="10" t="s">
        <v>96</v>
      </c>
      <c r="B75" s="10"/>
      <c r="C75" s="87"/>
      <c r="D75" s="5" t="s">
        <v>191</v>
      </c>
      <c r="E75" s="5" t="s">
        <v>51</v>
      </c>
      <c r="F75" s="10" t="s">
        <v>215</v>
      </c>
      <c r="G75" s="5" t="s">
        <v>216</v>
      </c>
      <c r="H75" s="22" t="s">
        <v>50</v>
      </c>
      <c r="I75" s="10"/>
      <c r="J75" s="10"/>
      <c r="K75" s="11"/>
      <c r="L75" s="10"/>
      <c r="M75" s="10"/>
      <c r="N75" s="10"/>
      <c r="O75" s="10"/>
      <c r="P75" s="10"/>
      <c r="Q75" s="10"/>
      <c r="R75" s="9" t="s">
        <v>194</v>
      </c>
    </row>
    <row r="76" spans="1:19" s="9" customFormat="1" ht="12.75">
      <c r="E76" s="16"/>
      <c r="G76" s="16"/>
      <c r="H76" s="16"/>
    </row>
    <row r="77" spans="1:19" s="9" customFormat="1" ht="25.5">
      <c r="A77" s="10" t="s">
        <v>172</v>
      </c>
      <c r="B77" s="17" t="s">
        <v>199</v>
      </c>
      <c r="C77" s="114"/>
      <c r="D77" s="5" t="s">
        <v>173</v>
      </c>
      <c r="E77" s="16"/>
      <c r="G77" s="16"/>
      <c r="H77" s="16"/>
    </row>
    <row r="78" spans="1:19" s="9" customFormat="1" ht="35.25" customHeight="1">
      <c r="A78" s="10" t="s">
        <v>172</v>
      </c>
      <c r="B78" s="17" t="s">
        <v>199</v>
      </c>
      <c r="C78" s="10"/>
      <c r="D78" s="115" t="s">
        <v>198</v>
      </c>
      <c r="E78" s="16"/>
      <c r="G78" s="16"/>
      <c r="H78" s="16"/>
    </row>
    <row r="79" spans="1:19" s="9" customFormat="1" ht="21.75" customHeight="1">
      <c r="A79" s="89" t="s">
        <v>149</v>
      </c>
      <c r="E79" s="16"/>
      <c r="G79" s="16"/>
      <c r="H79" s="16"/>
    </row>
    <row r="80" spans="1:19" s="9" customFormat="1" ht="32.25" customHeight="1">
      <c r="A80" s="88" t="s">
        <v>151</v>
      </c>
      <c r="B80" s="103" t="s">
        <v>166</v>
      </c>
      <c r="E80" s="16"/>
      <c r="G80" s="16"/>
      <c r="H80" s="16"/>
    </row>
    <row r="81" spans="1:8" s="9" customFormat="1" ht="37.5" customHeight="1">
      <c r="A81" s="88" t="s">
        <v>150</v>
      </c>
      <c r="B81" s="103" t="s">
        <v>166</v>
      </c>
      <c r="E81" s="16"/>
      <c r="G81" s="16"/>
      <c r="H81" s="16"/>
    </row>
    <row r="82" spans="1:8" s="9" customFormat="1" ht="42" customHeight="1">
      <c r="A82" s="88" t="s">
        <v>200</v>
      </c>
      <c r="B82" s="103"/>
      <c r="E82" s="16"/>
      <c r="G82" s="16"/>
      <c r="H82" s="16"/>
    </row>
    <row r="83" spans="1:8" s="9" customFormat="1" ht="12.75">
      <c r="E83" s="16"/>
      <c r="G83" s="16"/>
      <c r="H83" s="16"/>
    </row>
    <row r="85" spans="1:8" s="9" customFormat="1" ht="12.75">
      <c r="E85" s="16"/>
      <c r="G85" s="16"/>
      <c r="H85" s="16"/>
    </row>
    <row r="86" spans="1:8" s="9" customFormat="1" ht="12.75">
      <c r="E86" s="16"/>
      <c r="G86" s="16"/>
      <c r="H86" s="16"/>
    </row>
    <row r="87" spans="1:8" s="9" customFormat="1" ht="12.75">
      <c r="E87" s="16"/>
      <c r="G87" s="16"/>
      <c r="H87" s="16"/>
    </row>
    <row r="88" spans="1:8" s="9" customFormat="1" ht="12.75">
      <c r="E88" s="16"/>
      <c r="G88" s="16"/>
      <c r="H88" s="16"/>
    </row>
    <row r="89" spans="1:8" s="9" customFormat="1" ht="111" customHeight="1">
      <c r="A89" s="144" t="s">
        <v>153</v>
      </c>
      <c r="B89" s="145"/>
      <c r="C89" s="145"/>
      <c r="D89" s="145"/>
      <c r="E89" s="145"/>
      <c r="F89" s="146"/>
      <c r="G89" s="16"/>
      <c r="H89" s="16"/>
    </row>
    <row r="90" spans="1:8" s="9" customFormat="1" ht="12.75">
      <c r="E90" s="16"/>
      <c r="G90" s="16"/>
      <c r="H90" s="16"/>
    </row>
    <row r="91" spans="1:8" s="9" customFormat="1" ht="12.75">
      <c r="E91" s="16"/>
      <c r="G91" s="16"/>
      <c r="H91" s="16"/>
    </row>
    <row r="92" spans="1:8" s="9" customFormat="1" ht="12.75">
      <c r="E92" s="16"/>
      <c r="G92" s="16"/>
      <c r="H92" s="16"/>
    </row>
    <row r="93" spans="1:8" s="9" customFormat="1" ht="12.75">
      <c r="E93" s="16"/>
      <c r="G93" s="16"/>
      <c r="H93" s="16"/>
    </row>
    <row r="94" spans="1:8" s="9" customFormat="1" ht="12.75">
      <c r="E94" s="16"/>
      <c r="G94" s="16"/>
      <c r="H94" s="16"/>
    </row>
    <row r="95" spans="1:8" s="9" customFormat="1" ht="12.75">
      <c r="E95" s="16"/>
      <c r="G95" s="16"/>
      <c r="H95" s="16"/>
    </row>
    <row r="96" spans="1:8" s="9" customFormat="1" ht="12.75">
      <c r="E96" s="16"/>
      <c r="G96" s="16"/>
      <c r="H96" s="16"/>
    </row>
    <row r="97" spans="5:8" s="9" customFormat="1" ht="12.75">
      <c r="E97" s="16"/>
      <c r="G97" s="16"/>
      <c r="H97" s="16"/>
    </row>
    <row r="101" spans="5:8" ht="15">
      <c r="H101"/>
    </row>
  </sheetData>
  <mergeCells count="16">
    <mergeCell ref="R35:S35"/>
    <mergeCell ref="R57:S57"/>
    <mergeCell ref="A89:F89"/>
    <mergeCell ref="D6:G6"/>
    <mergeCell ref="D21:D22"/>
    <mergeCell ref="E21:E22"/>
    <mergeCell ref="K21:K22"/>
    <mergeCell ref="R61:S61"/>
    <mergeCell ref="R62:S62"/>
    <mergeCell ref="R64:S64"/>
    <mergeCell ref="F71:G71"/>
    <mergeCell ref="R72:S72"/>
    <mergeCell ref="B21:B22"/>
    <mergeCell ref="C21:C22"/>
    <mergeCell ref="R18:R19"/>
    <mergeCell ref="D23:E23"/>
  </mergeCells>
  <printOptions horizontalCentered="1"/>
  <pageMargins left="0.11811023622047245" right="0.11811023622047245" top="0.74803149606299213" bottom="0.74803149606299213" header="0.31496062992125984" footer="0.31496062992125984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00"/>
  <sheetViews>
    <sheetView workbookViewId="0">
      <selection activeCell="C29" sqref="C29"/>
    </sheetView>
  </sheetViews>
  <sheetFormatPr baseColWidth="10" defaultRowHeight="14.25"/>
  <cols>
    <col min="1" max="2" width="26.28515625" style="8" customWidth="1"/>
    <col min="3" max="3" width="17.28515625" style="8" customWidth="1"/>
    <col min="4" max="4" width="19.28515625" style="8" customWidth="1"/>
    <col min="5" max="5" width="10.7109375" style="15" customWidth="1"/>
    <col min="6" max="6" width="13" style="8" customWidth="1"/>
    <col min="7" max="7" width="13" style="15" customWidth="1"/>
    <col min="8" max="8" width="14.42578125" style="15" customWidth="1"/>
    <col min="9" max="9" width="17.42578125" style="8" customWidth="1"/>
    <col min="10" max="16384" width="11.42578125" style="8"/>
  </cols>
  <sheetData>
    <row r="1" spans="1:21">
      <c r="A1" s="2" t="s">
        <v>0</v>
      </c>
      <c r="B1" s="50"/>
      <c r="C1" s="50"/>
    </row>
    <row r="2" spans="1:21" ht="15" thickBot="1">
      <c r="A2" s="3" t="s">
        <v>1</v>
      </c>
      <c r="B2" s="50"/>
      <c r="C2" s="50"/>
    </row>
    <row r="5" spans="1:21" ht="15" thickBot="1"/>
    <row r="6" spans="1:21" s="9" customFormat="1" ht="13.5" thickBot="1">
      <c r="A6" s="4" t="s">
        <v>2</v>
      </c>
      <c r="B6" s="51"/>
      <c r="C6" s="51"/>
      <c r="D6" s="127" t="s">
        <v>100</v>
      </c>
      <c r="E6" s="127"/>
      <c r="F6" s="127"/>
      <c r="G6" s="128"/>
      <c r="H6" s="16"/>
    </row>
    <row r="7" spans="1:21" s="9" customFormat="1" ht="12.75">
      <c r="E7" s="16"/>
      <c r="G7" s="16"/>
      <c r="H7" s="16"/>
    </row>
    <row r="8" spans="1:21" s="9" customFormat="1" ht="13.5" thickBot="1">
      <c r="E8" s="16"/>
      <c r="G8" s="16"/>
      <c r="H8" s="16"/>
    </row>
    <row r="9" spans="1:21" s="9" customFormat="1" ht="76.5">
      <c r="A9" s="106" t="s">
        <v>3</v>
      </c>
      <c r="B9" s="107" t="s">
        <v>108</v>
      </c>
      <c r="C9" s="108" t="s">
        <v>145</v>
      </c>
      <c r="D9" s="46" t="s">
        <v>4</v>
      </c>
      <c r="E9" s="46" t="s">
        <v>48</v>
      </c>
      <c r="F9" s="46" t="s">
        <v>5</v>
      </c>
      <c r="G9" s="46" t="s">
        <v>6</v>
      </c>
      <c r="H9" s="46" t="s">
        <v>7</v>
      </c>
      <c r="I9" s="46" t="s">
        <v>8</v>
      </c>
      <c r="J9" s="46" t="s">
        <v>9</v>
      </c>
      <c r="K9" s="46" t="s">
        <v>10</v>
      </c>
      <c r="L9" s="46" t="s">
        <v>11</v>
      </c>
      <c r="M9" s="46" t="s">
        <v>12</v>
      </c>
      <c r="N9" s="46" t="s">
        <v>13</v>
      </c>
      <c r="O9" s="46" t="s">
        <v>14</v>
      </c>
      <c r="P9" s="47" t="s">
        <v>15</v>
      </c>
      <c r="Q9" s="48" t="s">
        <v>16</v>
      </c>
    </row>
    <row r="10" spans="1:21" s="9" customFormat="1" ht="18.75" customHeight="1">
      <c r="A10" s="19" t="s">
        <v>71</v>
      </c>
      <c r="B10" s="19"/>
      <c r="C10" s="69"/>
      <c r="E10" s="16"/>
      <c r="G10" s="16"/>
      <c r="H10" s="16"/>
    </row>
    <row r="11" spans="1:21" s="27" customFormat="1" ht="36" customHeight="1">
      <c r="A11" s="28" t="s">
        <v>31</v>
      </c>
      <c r="B11" s="52" t="s">
        <v>109</v>
      </c>
      <c r="C11" s="70">
        <v>45713</v>
      </c>
      <c r="D11" s="22" t="s">
        <v>32</v>
      </c>
      <c r="E11" s="22" t="s">
        <v>51</v>
      </c>
      <c r="F11" s="23"/>
      <c r="G11" s="23"/>
      <c r="H11" s="22" t="s">
        <v>50</v>
      </c>
      <c r="I11" s="23"/>
      <c r="J11" s="24"/>
      <c r="K11" s="25">
        <f>M11</f>
        <v>214.6</v>
      </c>
      <c r="L11" s="24"/>
      <c r="M11" s="25">
        <v>214.6</v>
      </c>
      <c r="N11" s="25"/>
      <c r="O11" s="25"/>
      <c r="P11" s="25"/>
      <c r="Q11" s="26"/>
    </row>
    <row r="12" spans="1:21" s="27" customFormat="1" ht="29.25" customHeight="1">
      <c r="A12" s="28" t="s">
        <v>72</v>
      </c>
      <c r="B12" s="52" t="s">
        <v>109</v>
      </c>
      <c r="C12" s="70" t="s">
        <v>197</v>
      </c>
      <c r="D12" s="22" t="s">
        <v>73</v>
      </c>
      <c r="E12" s="22" t="s">
        <v>51</v>
      </c>
      <c r="F12" s="23"/>
      <c r="G12" s="23"/>
      <c r="H12" s="22" t="s">
        <v>50</v>
      </c>
      <c r="I12" s="23"/>
      <c r="J12" s="24"/>
      <c r="K12" s="67">
        <v>2760</v>
      </c>
      <c r="L12" s="24"/>
      <c r="M12" s="25"/>
      <c r="N12" s="24"/>
      <c r="O12" s="24"/>
      <c r="P12" s="24"/>
      <c r="Q12" s="25"/>
      <c r="R12" s="66" t="s">
        <v>129</v>
      </c>
      <c r="S12" s="66"/>
      <c r="T12" s="66"/>
      <c r="U12" s="27" t="s">
        <v>175</v>
      </c>
    </row>
    <row r="13" spans="1:21" s="27" customFormat="1" ht="29.25" customHeight="1">
      <c r="A13" s="28" t="s">
        <v>188</v>
      </c>
      <c r="B13" s="52" t="s">
        <v>109</v>
      </c>
      <c r="C13" s="70" t="s">
        <v>190</v>
      </c>
      <c r="D13" s="22" t="s">
        <v>101</v>
      </c>
      <c r="E13" s="22" t="s">
        <v>51</v>
      </c>
      <c r="F13" s="23"/>
      <c r="G13" s="23"/>
      <c r="H13" s="22"/>
      <c r="I13" s="23"/>
      <c r="J13" s="24"/>
      <c r="K13" s="25"/>
      <c r="L13" s="24"/>
      <c r="M13" s="25"/>
      <c r="N13" s="24"/>
      <c r="O13" s="24"/>
      <c r="P13" s="24"/>
      <c r="Q13" s="25"/>
      <c r="R13" s="66"/>
      <c r="S13" s="66"/>
      <c r="T13" s="66"/>
    </row>
    <row r="14" spans="1:21" ht="35.25" customHeight="1">
      <c r="A14" s="60" t="s">
        <v>106</v>
      </c>
      <c r="B14" s="60" t="s">
        <v>110</v>
      </c>
      <c r="C14" s="71">
        <v>45414</v>
      </c>
      <c r="D14" s="32" t="s">
        <v>101</v>
      </c>
      <c r="E14" s="22" t="s">
        <v>51</v>
      </c>
      <c r="F14" s="33">
        <v>45292</v>
      </c>
      <c r="G14" s="44">
        <v>45657</v>
      </c>
      <c r="H14" s="22" t="s">
        <v>50</v>
      </c>
      <c r="I14" s="42"/>
      <c r="J14" s="42"/>
      <c r="K14" s="43"/>
      <c r="L14" s="42"/>
      <c r="M14" s="43"/>
      <c r="N14" s="42"/>
      <c r="O14" s="42"/>
      <c r="P14" s="42"/>
      <c r="Q14" s="42"/>
    </row>
    <row r="15" spans="1:21" ht="79.5" customHeight="1">
      <c r="A15" s="60" t="s">
        <v>113</v>
      </c>
      <c r="B15" s="60" t="s">
        <v>114</v>
      </c>
      <c r="C15" s="71">
        <v>45646</v>
      </c>
      <c r="D15" s="22" t="s">
        <v>131</v>
      </c>
      <c r="E15" s="22" t="s">
        <v>51</v>
      </c>
      <c r="F15" s="33"/>
      <c r="G15" s="44"/>
      <c r="H15" s="22" t="s">
        <v>50</v>
      </c>
      <c r="I15" s="42"/>
      <c r="J15" s="42"/>
      <c r="K15" s="43">
        <v>362.74</v>
      </c>
      <c r="L15" s="42"/>
      <c r="M15" s="43"/>
      <c r="N15" s="42"/>
      <c r="O15" s="42"/>
      <c r="P15" s="42"/>
      <c r="Q15" s="42"/>
    </row>
    <row r="16" spans="1:21" ht="79.5" customHeight="1">
      <c r="A16" s="60" t="s">
        <v>119</v>
      </c>
      <c r="B16" s="60" t="s">
        <v>110</v>
      </c>
      <c r="C16" s="101">
        <v>45637</v>
      </c>
      <c r="D16" s="32"/>
      <c r="E16" s="22" t="s">
        <v>51</v>
      </c>
      <c r="F16" s="33"/>
      <c r="G16" s="44"/>
      <c r="H16" s="22"/>
      <c r="I16" s="42"/>
      <c r="J16" s="42"/>
      <c r="K16" s="43"/>
      <c r="L16" s="42"/>
      <c r="M16" s="43"/>
      <c r="N16" s="42"/>
      <c r="O16" s="42"/>
      <c r="P16" s="42"/>
      <c r="Q16" s="42"/>
    </row>
    <row r="17" spans="1:19" ht="141.75" customHeight="1">
      <c r="A17" s="90" t="s">
        <v>152</v>
      </c>
      <c r="B17" s="65" t="s">
        <v>154</v>
      </c>
      <c r="C17" s="102" t="s">
        <v>165</v>
      </c>
      <c r="D17" s="32"/>
      <c r="E17" s="22"/>
      <c r="F17" s="33"/>
      <c r="G17" s="44"/>
      <c r="H17" s="22"/>
      <c r="I17" s="42"/>
      <c r="J17" s="42"/>
      <c r="K17" s="43"/>
      <c r="L17" s="42"/>
      <c r="M17" s="42"/>
      <c r="N17" s="42"/>
      <c r="O17" s="42"/>
      <c r="P17" s="42"/>
      <c r="Q17" s="42"/>
    </row>
    <row r="18" spans="1:19" ht="57.75" customHeight="1">
      <c r="A18" s="60" t="s">
        <v>120</v>
      </c>
      <c r="B18" s="52" t="s">
        <v>109</v>
      </c>
      <c r="C18" s="70">
        <v>45632</v>
      </c>
      <c r="D18" s="32" t="s">
        <v>73</v>
      </c>
      <c r="E18" s="22" t="s">
        <v>51</v>
      </c>
      <c r="F18" s="33"/>
      <c r="G18" s="44"/>
      <c r="H18" s="22"/>
      <c r="I18" s="42"/>
      <c r="J18" s="42"/>
      <c r="K18" s="43"/>
      <c r="L18" s="42"/>
      <c r="M18" s="42"/>
      <c r="N18" s="42"/>
      <c r="O18" s="42"/>
      <c r="P18" s="42"/>
      <c r="Q18" s="42"/>
      <c r="R18" s="111" t="s">
        <v>186</v>
      </c>
      <c r="S18" s="111"/>
    </row>
    <row r="19" spans="1:19" s="27" customFormat="1" ht="39" customHeight="1">
      <c r="A19" s="105" t="s">
        <v>121</v>
      </c>
      <c r="B19" s="52" t="s">
        <v>112</v>
      </c>
      <c r="C19" s="72"/>
      <c r="D19" s="22" t="s">
        <v>24</v>
      </c>
      <c r="E19" s="22" t="s">
        <v>51</v>
      </c>
      <c r="F19" s="23">
        <v>45809</v>
      </c>
      <c r="G19" s="23">
        <v>46904</v>
      </c>
      <c r="H19" s="22" t="s">
        <v>50</v>
      </c>
      <c r="I19" s="22" t="s">
        <v>25</v>
      </c>
      <c r="J19" s="24"/>
      <c r="K19" s="25">
        <v>336</v>
      </c>
      <c r="L19" s="24"/>
      <c r="M19" s="25">
        <v>336</v>
      </c>
      <c r="N19" s="25"/>
      <c r="O19" s="25"/>
      <c r="P19" s="25"/>
      <c r="Q19" s="26"/>
    </row>
    <row r="20" spans="1:19" ht="33.75" customHeight="1">
      <c r="A20" s="60" t="s">
        <v>104</v>
      </c>
      <c r="B20" s="60" t="s">
        <v>111</v>
      </c>
      <c r="C20" s="71">
        <v>45566</v>
      </c>
      <c r="D20" s="136" t="s">
        <v>73</v>
      </c>
      <c r="E20" s="138" t="s">
        <v>51</v>
      </c>
      <c r="F20" s="153">
        <v>45996</v>
      </c>
      <c r="G20" s="44"/>
      <c r="H20" s="22"/>
      <c r="I20" s="42"/>
      <c r="J20" s="42"/>
      <c r="K20" s="140">
        <v>744</v>
      </c>
      <c r="L20" s="42"/>
      <c r="M20" s="42"/>
      <c r="N20" s="42"/>
      <c r="O20" s="42"/>
      <c r="P20" s="42"/>
      <c r="Q20" s="49"/>
    </row>
    <row r="21" spans="1:19" ht="96" customHeight="1">
      <c r="A21" s="60" t="s">
        <v>105</v>
      </c>
      <c r="B21" s="60" t="s">
        <v>111</v>
      </c>
      <c r="C21" s="71" t="s">
        <v>170</v>
      </c>
      <c r="D21" s="137"/>
      <c r="E21" s="139"/>
      <c r="F21" s="154"/>
      <c r="G21" s="44"/>
      <c r="H21" s="22"/>
      <c r="I21" s="42"/>
      <c r="J21" s="42"/>
      <c r="K21" s="141"/>
      <c r="L21" s="42"/>
      <c r="M21" s="42"/>
      <c r="N21" s="42"/>
      <c r="O21" s="42"/>
      <c r="P21" s="42"/>
      <c r="Q21" s="49"/>
    </row>
    <row r="22" spans="1:19" ht="48" customHeight="1">
      <c r="A22" s="65" t="s">
        <v>128</v>
      </c>
      <c r="B22" s="52" t="s">
        <v>109</v>
      </c>
      <c r="C22" s="72"/>
      <c r="D22" s="42" t="s">
        <v>189</v>
      </c>
      <c r="E22" s="22"/>
      <c r="F22" s="33"/>
      <c r="G22" s="44"/>
      <c r="H22" s="22"/>
      <c r="I22" s="42"/>
      <c r="J22" s="42"/>
      <c r="K22" s="43"/>
      <c r="L22" s="42"/>
      <c r="M22" s="42"/>
      <c r="N22" s="42"/>
      <c r="O22" s="42"/>
      <c r="P22" s="42"/>
      <c r="Q22" s="49"/>
    </row>
    <row r="23" spans="1:19" s="9" customFormat="1" ht="18.75" customHeight="1">
      <c r="A23" s="13" t="s">
        <v>52</v>
      </c>
      <c r="B23" s="53"/>
      <c r="C23" s="73"/>
      <c r="D23" s="5"/>
      <c r="E23" s="5"/>
      <c r="F23" s="6"/>
      <c r="G23" s="6"/>
      <c r="H23" s="5"/>
      <c r="I23" s="5"/>
      <c r="J23" s="10"/>
      <c r="K23" s="11"/>
      <c r="L23" s="10"/>
      <c r="M23" s="11"/>
      <c r="N23" s="11"/>
      <c r="O23" s="11"/>
      <c r="P23" s="11"/>
      <c r="Q23" s="12"/>
    </row>
    <row r="24" spans="1:19" s="27" customFormat="1" ht="30" customHeight="1">
      <c r="A24" s="28" t="s">
        <v>27</v>
      </c>
      <c r="B24" s="52" t="s">
        <v>109</v>
      </c>
      <c r="C24" s="72"/>
      <c r="D24" s="22" t="s">
        <v>122</v>
      </c>
      <c r="E24" s="22" t="s">
        <v>51</v>
      </c>
      <c r="F24" s="23">
        <v>45292</v>
      </c>
      <c r="G24" s="23"/>
      <c r="H24" s="22" t="s">
        <v>123</v>
      </c>
      <c r="I24" s="22"/>
      <c r="J24" s="24"/>
      <c r="K24" s="25"/>
      <c r="L24" s="24"/>
      <c r="M24" s="25">
        <v>6206.87</v>
      </c>
      <c r="N24" s="25">
        <v>6206.87</v>
      </c>
      <c r="O24" s="25"/>
      <c r="P24" s="25"/>
      <c r="Q24" s="26"/>
    </row>
    <row r="25" spans="1:19" s="27" customFormat="1" ht="48.75" customHeight="1">
      <c r="A25" s="28" t="s">
        <v>124</v>
      </c>
      <c r="B25" s="64" t="s">
        <v>125</v>
      </c>
      <c r="C25" s="74"/>
      <c r="D25" s="22"/>
      <c r="E25" s="22" t="s">
        <v>51</v>
      </c>
      <c r="F25" s="23"/>
      <c r="G25" s="23"/>
      <c r="H25" s="22"/>
      <c r="I25" s="22"/>
      <c r="J25" s="24"/>
      <c r="K25" s="25"/>
      <c r="L25" s="24"/>
      <c r="M25" s="25"/>
      <c r="N25" s="25"/>
      <c r="O25" s="25"/>
      <c r="P25" s="25"/>
      <c r="Q25" s="26"/>
    </row>
    <row r="26" spans="1:19" s="27" customFormat="1" ht="104.25" customHeight="1">
      <c r="A26" s="28" t="s">
        <v>146</v>
      </c>
      <c r="B26" s="52" t="s">
        <v>109</v>
      </c>
      <c r="C26" s="70">
        <v>45287</v>
      </c>
      <c r="D26" s="22" t="s">
        <v>29</v>
      </c>
      <c r="E26" s="22" t="s">
        <v>51</v>
      </c>
      <c r="F26" s="23">
        <v>44927</v>
      </c>
      <c r="G26" s="23">
        <v>46022</v>
      </c>
      <c r="H26" s="22" t="s">
        <v>50</v>
      </c>
      <c r="I26" s="22" t="s">
        <v>30</v>
      </c>
      <c r="J26" s="24"/>
      <c r="K26" s="25"/>
      <c r="L26" s="24"/>
      <c r="M26" s="25">
        <v>1132.74</v>
      </c>
      <c r="N26" s="25">
        <v>1132.74</v>
      </c>
      <c r="O26" s="25"/>
      <c r="P26" s="25"/>
      <c r="Q26" s="26"/>
    </row>
    <row r="27" spans="1:19" s="9" customFormat="1" ht="52.5" customHeight="1">
      <c r="A27" s="60" t="s">
        <v>171</v>
      </c>
      <c r="B27" s="52" t="s">
        <v>109</v>
      </c>
      <c r="C27" s="104">
        <v>45568</v>
      </c>
      <c r="D27" s="16"/>
      <c r="E27" s="22" t="s">
        <v>51</v>
      </c>
      <c r="F27" s="10"/>
      <c r="G27" s="5"/>
      <c r="H27" s="5"/>
      <c r="I27" s="10"/>
      <c r="J27" s="10"/>
      <c r="K27" s="11"/>
      <c r="L27" s="10"/>
      <c r="M27" s="11"/>
      <c r="N27" s="10"/>
      <c r="O27" s="10"/>
      <c r="P27" s="10"/>
      <c r="Q27" s="10"/>
    </row>
    <row r="28" spans="1:19" s="27" customFormat="1" ht="83.25" customHeight="1">
      <c r="A28" s="28" t="s">
        <v>147</v>
      </c>
      <c r="B28" s="52" t="s">
        <v>109</v>
      </c>
      <c r="C28" s="70">
        <v>45287</v>
      </c>
      <c r="D28" s="22" t="s">
        <v>29</v>
      </c>
      <c r="E28" s="22" t="s">
        <v>51</v>
      </c>
      <c r="F28" s="23">
        <v>44927</v>
      </c>
      <c r="G28" s="23">
        <v>46022</v>
      </c>
      <c r="H28" s="22" t="s">
        <v>50</v>
      </c>
      <c r="I28" s="22"/>
      <c r="J28" s="24"/>
      <c r="L28" s="24"/>
      <c r="N28" s="25"/>
      <c r="O28" s="25"/>
      <c r="P28" s="25"/>
      <c r="Q28" s="26"/>
    </row>
    <row r="29" spans="1:19" s="27" customFormat="1" ht="40.5" customHeight="1">
      <c r="A29" s="28" t="s">
        <v>115</v>
      </c>
      <c r="B29" s="52" t="s">
        <v>109</v>
      </c>
      <c r="C29" s="70" t="s">
        <v>195</v>
      </c>
      <c r="D29" s="22" t="s">
        <v>196</v>
      </c>
      <c r="E29" s="22" t="s">
        <v>51</v>
      </c>
      <c r="F29" s="23"/>
      <c r="G29" s="23"/>
      <c r="H29" s="22"/>
      <c r="I29" s="22"/>
      <c r="J29" s="24"/>
      <c r="K29" s="25">
        <v>500.4</v>
      </c>
      <c r="L29" s="24"/>
      <c r="M29" s="25"/>
      <c r="N29" s="25"/>
      <c r="O29" s="25"/>
      <c r="P29" s="25"/>
      <c r="Q29" s="26"/>
    </row>
    <row r="30" spans="1:19" s="27" customFormat="1" ht="95.25" customHeight="1">
      <c r="A30" s="28" t="s">
        <v>148</v>
      </c>
      <c r="B30" s="52" t="s">
        <v>109</v>
      </c>
      <c r="C30" s="70">
        <v>45528</v>
      </c>
      <c r="D30" s="22" t="s">
        <v>131</v>
      </c>
      <c r="E30" s="22" t="s">
        <v>51</v>
      </c>
      <c r="F30" s="23"/>
      <c r="G30" s="23"/>
      <c r="H30" s="22"/>
      <c r="I30" s="22"/>
      <c r="J30" s="24"/>
      <c r="K30" s="25">
        <v>986.74</v>
      </c>
      <c r="L30" s="24"/>
      <c r="M30" s="25"/>
      <c r="N30" s="25"/>
      <c r="O30" s="25"/>
      <c r="P30" s="25"/>
      <c r="Q30" s="26"/>
    </row>
    <row r="31" spans="1:19" s="27" customFormat="1" ht="25.5">
      <c r="A31" s="28" t="s">
        <v>127</v>
      </c>
      <c r="B31" s="52" t="s">
        <v>126</v>
      </c>
      <c r="C31" s="72"/>
      <c r="D31" s="22"/>
      <c r="E31" s="22" t="s">
        <v>51</v>
      </c>
      <c r="F31" s="23">
        <v>44551</v>
      </c>
      <c r="G31" s="23">
        <v>45646</v>
      </c>
      <c r="H31" s="22" t="s">
        <v>50</v>
      </c>
      <c r="I31" s="22" t="s">
        <v>26</v>
      </c>
      <c r="J31" s="24"/>
      <c r="K31" s="25"/>
      <c r="L31" s="24"/>
      <c r="M31" s="25"/>
      <c r="N31" s="25"/>
      <c r="O31" s="25"/>
      <c r="P31" s="25"/>
      <c r="Q31" s="26"/>
    </row>
    <row r="32" spans="1:19" ht="26.25" customHeight="1">
      <c r="A32" s="8" t="s">
        <v>85</v>
      </c>
      <c r="B32" s="42"/>
      <c r="C32" s="75"/>
      <c r="D32" s="32"/>
      <c r="E32" s="22" t="s">
        <v>51</v>
      </c>
      <c r="F32" s="44">
        <v>44896</v>
      </c>
      <c r="G32" s="45">
        <v>45260</v>
      </c>
      <c r="H32" s="22" t="s">
        <v>50</v>
      </c>
      <c r="I32" s="42"/>
      <c r="J32" s="42"/>
      <c r="K32" s="25"/>
      <c r="L32" s="42"/>
      <c r="M32" s="25"/>
      <c r="N32" s="25"/>
      <c r="O32" s="25"/>
      <c r="P32" s="25"/>
      <c r="Q32" s="26"/>
    </row>
    <row r="33" spans="1:23" s="9" customFormat="1" ht="55.5" customHeight="1">
      <c r="A33" s="91" t="s">
        <v>53</v>
      </c>
      <c r="B33" s="93"/>
      <c r="C33" s="76"/>
      <c r="D33" s="17" t="s">
        <v>54</v>
      </c>
      <c r="E33" s="22" t="s">
        <v>51</v>
      </c>
      <c r="F33" s="6">
        <v>44562</v>
      </c>
      <c r="G33" s="6">
        <v>46022</v>
      </c>
      <c r="H33" s="5"/>
      <c r="I33" s="6" t="s">
        <v>55</v>
      </c>
      <c r="J33" s="10"/>
      <c r="K33" s="25">
        <f t="shared" ref="K33" si="0">Q33</f>
        <v>0</v>
      </c>
      <c r="L33" s="10"/>
      <c r="M33" s="25">
        <v>0</v>
      </c>
      <c r="N33" s="25">
        <v>0</v>
      </c>
      <c r="O33" s="25">
        <v>0</v>
      </c>
      <c r="P33" s="25">
        <v>0</v>
      </c>
      <c r="Q33" s="26">
        <f t="shared" ref="Q33" si="1">M33+N33+O33+P33</f>
        <v>0</v>
      </c>
    </row>
    <row r="34" spans="1:23" s="9" customFormat="1" ht="69.75" customHeight="1">
      <c r="A34" s="91" t="s">
        <v>156</v>
      </c>
      <c r="B34" s="95" t="s">
        <v>155</v>
      </c>
      <c r="C34" s="77"/>
      <c r="D34" s="17" t="s">
        <v>141</v>
      </c>
      <c r="E34" s="22" t="s">
        <v>51</v>
      </c>
      <c r="F34" s="6"/>
      <c r="G34" s="6"/>
      <c r="H34" s="5"/>
      <c r="I34" s="6"/>
      <c r="J34" s="10"/>
      <c r="K34" s="25"/>
      <c r="L34" s="11"/>
      <c r="M34" s="25"/>
      <c r="N34" s="25"/>
      <c r="O34" s="25"/>
      <c r="P34" s="25"/>
      <c r="Q34" s="26"/>
      <c r="R34" s="149" t="s">
        <v>182</v>
      </c>
      <c r="S34" s="150"/>
    </row>
    <row r="35" spans="1:23" s="9" customFormat="1" ht="24" customHeight="1">
      <c r="A35" s="92" t="s">
        <v>49</v>
      </c>
      <c r="B35" s="94"/>
      <c r="C35" s="73"/>
      <c r="D35" s="5"/>
      <c r="E35" s="5"/>
      <c r="F35" s="6"/>
      <c r="G35" s="6"/>
      <c r="H35" s="5"/>
      <c r="I35" s="6"/>
      <c r="J35" s="10"/>
      <c r="K35" s="11"/>
      <c r="L35" s="10"/>
      <c r="M35" s="11"/>
      <c r="N35" s="11"/>
      <c r="O35" s="11"/>
      <c r="P35" s="11"/>
      <c r="Q35" s="12"/>
    </row>
    <row r="36" spans="1:23" s="27" customFormat="1" ht="34.5" customHeight="1">
      <c r="A36" s="21" t="s">
        <v>36</v>
      </c>
      <c r="B36" s="54"/>
      <c r="C36" s="78"/>
      <c r="D36" s="22" t="s">
        <v>37</v>
      </c>
      <c r="E36" s="22" t="s">
        <v>51</v>
      </c>
      <c r="F36" s="23">
        <v>44378</v>
      </c>
      <c r="G36" s="23">
        <v>45838</v>
      </c>
      <c r="H36" s="22" t="s">
        <v>50</v>
      </c>
      <c r="I36" s="22" t="s">
        <v>38</v>
      </c>
      <c r="J36" s="24"/>
      <c r="K36" s="25">
        <v>0</v>
      </c>
      <c r="L36" s="24"/>
      <c r="M36" s="25">
        <v>0</v>
      </c>
      <c r="N36" s="25">
        <v>0</v>
      </c>
      <c r="O36" s="25">
        <v>0</v>
      </c>
      <c r="P36" s="25">
        <v>0</v>
      </c>
      <c r="Q36" s="26">
        <f t="shared" ref="Q36:Q63" si="2">M36+N36+O36+P36</f>
        <v>0</v>
      </c>
    </row>
    <row r="37" spans="1:23" s="27" customFormat="1" ht="34.5" customHeight="1">
      <c r="A37" s="28" t="s">
        <v>39</v>
      </c>
      <c r="B37" s="52"/>
      <c r="C37" s="72"/>
      <c r="D37" s="22" t="s">
        <v>183</v>
      </c>
      <c r="E37" s="22" t="s">
        <v>51</v>
      </c>
      <c r="F37" s="23">
        <v>45658</v>
      </c>
      <c r="G37" s="23">
        <v>46752</v>
      </c>
      <c r="H37" s="22" t="s">
        <v>50</v>
      </c>
      <c r="I37" s="22"/>
      <c r="J37" s="24"/>
      <c r="K37" s="25">
        <v>0</v>
      </c>
      <c r="L37" s="24"/>
      <c r="M37" s="25">
        <v>0</v>
      </c>
      <c r="N37" s="25">
        <v>0</v>
      </c>
      <c r="O37" s="25">
        <v>0</v>
      </c>
      <c r="P37" s="25">
        <v>0</v>
      </c>
      <c r="Q37" s="26">
        <f t="shared" si="2"/>
        <v>0</v>
      </c>
    </row>
    <row r="38" spans="1:23" s="27" customFormat="1" ht="34.5" customHeight="1">
      <c r="A38" s="28"/>
      <c r="B38" s="52"/>
      <c r="C38" s="72"/>
      <c r="D38" s="22"/>
      <c r="E38" s="22"/>
      <c r="F38" s="23"/>
      <c r="G38" s="23"/>
      <c r="H38" s="22"/>
      <c r="I38" s="22"/>
      <c r="J38" s="24"/>
      <c r="K38" s="25"/>
      <c r="L38" s="24"/>
      <c r="M38" s="25"/>
      <c r="N38" s="25"/>
      <c r="O38" s="25"/>
      <c r="P38" s="25"/>
      <c r="Q38" s="26"/>
    </row>
    <row r="39" spans="1:23" s="27" customFormat="1" ht="34.5" customHeight="1">
      <c r="A39" s="28"/>
      <c r="B39" s="52"/>
      <c r="C39" s="72"/>
      <c r="D39" s="22"/>
      <c r="E39" s="22"/>
      <c r="F39" s="23"/>
      <c r="G39" s="23"/>
      <c r="H39" s="22"/>
      <c r="I39" s="22"/>
      <c r="J39" s="24"/>
      <c r="K39" s="25"/>
      <c r="L39" s="24"/>
      <c r="M39" s="25"/>
      <c r="N39" s="25"/>
      <c r="O39" s="25"/>
      <c r="P39" s="25"/>
      <c r="Q39" s="26"/>
    </row>
    <row r="40" spans="1:23" s="27" customFormat="1" ht="34.5" customHeight="1">
      <c r="A40" s="28" t="s">
        <v>93</v>
      </c>
      <c r="B40" s="52"/>
      <c r="C40" s="72"/>
      <c r="D40" s="22" t="s">
        <v>94</v>
      </c>
      <c r="E40" s="22" t="s">
        <v>51</v>
      </c>
      <c r="F40" s="23">
        <v>44627</v>
      </c>
      <c r="G40" s="23">
        <v>45722</v>
      </c>
      <c r="H40" s="22" t="s">
        <v>50</v>
      </c>
      <c r="I40" s="22" t="s">
        <v>95</v>
      </c>
      <c r="J40" s="24"/>
      <c r="K40" s="25">
        <f>Q40</f>
        <v>0</v>
      </c>
      <c r="L40" s="24"/>
      <c r="M40" s="25"/>
      <c r="N40" s="25"/>
      <c r="O40" s="67"/>
      <c r="P40" s="25"/>
      <c r="Q40" s="26"/>
    </row>
    <row r="41" spans="1:23" s="27" customFormat="1" ht="30" customHeight="1">
      <c r="A41" s="21" t="s">
        <v>42</v>
      </c>
      <c r="B41" s="54"/>
      <c r="C41" s="78"/>
      <c r="D41" s="29" t="s">
        <v>43</v>
      </c>
      <c r="E41" s="22" t="s">
        <v>51</v>
      </c>
      <c r="F41" s="23">
        <v>44214</v>
      </c>
      <c r="G41" s="23">
        <v>45838</v>
      </c>
      <c r="H41" s="23">
        <v>45473</v>
      </c>
      <c r="I41" s="22" t="s">
        <v>44</v>
      </c>
      <c r="J41" s="24"/>
      <c r="K41" s="25">
        <f>Q41</f>
        <v>0</v>
      </c>
      <c r="L41" s="24"/>
      <c r="M41" s="25">
        <v>0</v>
      </c>
      <c r="N41" s="25">
        <v>0</v>
      </c>
      <c r="O41" s="25">
        <v>0</v>
      </c>
      <c r="P41" s="25">
        <v>0</v>
      </c>
      <c r="Q41" s="26">
        <f t="shared" si="2"/>
        <v>0</v>
      </c>
    </row>
    <row r="42" spans="1:23" s="27" customFormat="1" ht="57.75" customHeight="1">
      <c r="A42" s="28" t="s">
        <v>157</v>
      </c>
      <c r="B42" s="99" t="s">
        <v>161</v>
      </c>
      <c r="C42" s="78"/>
      <c r="D42" s="29" t="s">
        <v>29</v>
      </c>
      <c r="E42" s="22"/>
      <c r="F42" s="23">
        <v>45163</v>
      </c>
      <c r="G42" s="23"/>
      <c r="H42" s="23"/>
      <c r="I42" s="22"/>
      <c r="J42" s="24"/>
      <c r="K42" s="25"/>
      <c r="L42" s="24"/>
      <c r="M42" s="25"/>
      <c r="N42" s="25"/>
      <c r="O42" s="25"/>
      <c r="P42" s="25"/>
      <c r="Q42" s="26"/>
    </row>
    <row r="43" spans="1:23" s="27" customFormat="1" ht="30" customHeight="1">
      <c r="A43" s="28" t="s">
        <v>158</v>
      </c>
      <c r="B43" s="98" t="s">
        <v>164</v>
      </c>
      <c r="C43" s="78"/>
      <c r="D43" s="29" t="s">
        <v>29</v>
      </c>
      <c r="E43" s="22"/>
      <c r="F43" s="23">
        <v>45040</v>
      </c>
      <c r="G43" s="23"/>
      <c r="H43" s="23"/>
      <c r="I43" s="22"/>
      <c r="J43" s="24"/>
      <c r="K43" s="25"/>
      <c r="L43" s="24"/>
      <c r="M43" s="25"/>
      <c r="N43" s="25"/>
      <c r="O43" s="25"/>
      <c r="P43" s="25"/>
      <c r="Q43" s="26"/>
    </row>
    <row r="44" spans="1:23" s="27" customFormat="1" ht="56.25" customHeight="1">
      <c r="A44" s="28" t="s">
        <v>159</v>
      </c>
      <c r="B44" s="54"/>
      <c r="C44" s="78"/>
      <c r="D44" s="97" t="s">
        <v>160</v>
      </c>
      <c r="E44" s="22"/>
      <c r="F44" s="23"/>
      <c r="G44" s="23"/>
      <c r="H44" s="23"/>
      <c r="I44" s="22"/>
      <c r="J44" s="24"/>
      <c r="K44" s="25"/>
      <c r="L44" s="24"/>
      <c r="M44" s="25"/>
      <c r="N44" s="25"/>
      <c r="O44" s="25"/>
      <c r="P44" s="25"/>
      <c r="Q44" s="26"/>
    </row>
    <row r="45" spans="1:23" s="27" customFormat="1" ht="25.5">
      <c r="A45" s="28" t="s">
        <v>22</v>
      </c>
      <c r="B45" s="52"/>
      <c r="C45" s="72"/>
      <c r="D45" s="22" t="s">
        <v>185</v>
      </c>
      <c r="E45" s="22" t="s">
        <v>51</v>
      </c>
      <c r="F45" s="23">
        <v>45664</v>
      </c>
      <c r="G45" s="23">
        <v>46758</v>
      </c>
      <c r="H45" s="22" t="s">
        <v>50</v>
      </c>
      <c r="I45" s="22"/>
      <c r="J45" s="24"/>
      <c r="K45" s="25">
        <f>Q45</f>
        <v>407.33</v>
      </c>
      <c r="L45" s="24"/>
      <c r="M45" s="25">
        <v>407.33</v>
      </c>
      <c r="N45" s="25"/>
      <c r="O45" s="25"/>
      <c r="P45" s="25"/>
      <c r="Q45" s="26">
        <f>M45</f>
        <v>407.33</v>
      </c>
      <c r="R45" s="110"/>
      <c r="S45" s="110"/>
      <c r="T45" s="110"/>
      <c r="U45" s="110"/>
      <c r="V45" s="110"/>
      <c r="W45" s="110"/>
    </row>
    <row r="46" spans="1:23" s="27" customFormat="1" ht="28.5" customHeight="1">
      <c r="A46" s="28" t="s">
        <v>56</v>
      </c>
      <c r="B46" s="52"/>
      <c r="C46" s="72"/>
      <c r="D46" s="22" t="s">
        <v>57</v>
      </c>
      <c r="E46" s="22" t="s">
        <v>51</v>
      </c>
      <c r="F46" s="23">
        <v>45259</v>
      </c>
      <c r="G46" s="23">
        <v>46719</v>
      </c>
      <c r="H46" s="22" t="s">
        <v>50</v>
      </c>
      <c r="I46" s="22" t="s">
        <v>58</v>
      </c>
      <c r="J46" s="24"/>
      <c r="K46" s="25">
        <f t="shared" ref="K46:K47" si="3">Q46</f>
        <v>5563.5</v>
      </c>
      <c r="L46" s="24"/>
      <c r="M46" s="25">
        <v>1854.5</v>
      </c>
      <c r="N46" s="25">
        <v>1854.5</v>
      </c>
      <c r="O46" s="25">
        <v>1854.5</v>
      </c>
      <c r="P46" s="25">
        <v>0</v>
      </c>
      <c r="Q46" s="26">
        <f t="shared" ref="Q46:Q47" si="4">M46+N46+O46+P46</f>
        <v>5563.5</v>
      </c>
      <c r="R46" s="110"/>
      <c r="S46" s="110"/>
      <c r="T46" s="110"/>
      <c r="U46" s="110"/>
      <c r="V46" s="110"/>
      <c r="W46" s="110"/>
    </row>
    <row r="47" spans="1:23" s="27" customFormat="1" ht="28.5" customHeight="1">
      <c r="A47" s="28" t="s">
        <v>60</v>
      </c>
      <c r="B47" s="52"/>
      <c r="C47" s="72"/>
      <c r="D47" s="22" t="s">
        <v>59</v>
      </c>
      <c r="E47" s="22" t="s">
        <v>51</v>
      </c>
      <c r="F47" s="23">
        <v>44927</v>
      </c>
      <c r="G47" s="23">
        <v>38717</v>
      </c>
      <c r="H47" s="22" t="s">
        <v>50</v>
      </c>
      <c r="I47" s="22" t="s">
        <v>61</v>
      </c>
      <c r="J47" s="24"/>
      <c r="K47" s="25">
        <f t="shared" si="3"/>
        <v>0</v>
      </c>
      <c r="L47" s="24"/>
      <c r="M47" s="25">
        <v>0</v>
      </c>
      <c r="N47" s="25">
        <v>0</v>
      </c>
      <c r="O47" s="25">
        <v>0</v>
      </c>
      <c r="P47" s="25">
        <v>0</v>
      </c>
      <c r="Q47" s="26">
        <f t="shared" si="4"/>
        <v>0</v>
      </c>
    </row>
    <row r="48" spans="1:23">
      <c r="A48" s="59" t="s">
        <v>187</v>
      </c>
      <c r="B48" s="20"/>
      <c r="C48" s="79"/>
      <c r="D48" s="32" t="s">
        <v>88</v>
      </c>
      <c r="E48" s="22" t="s">
        <v>51</v>
      </c>
      <c r="F48" s="33">
        <v>45533</v>
      </c>
      <c r="G48" s="44">
        <v>46627</v>
      </c>
      <c r="H48" s="22" t="s">
        <v>50</v>
      </c>
      <c r="I48" s="42"/>
      <c r="J48" s="42"/>
      <c r="K48" s="43">
        <f>M48</f>
        <v>510</v>
      </c>
      <c r="L48" s="42"/>
      <c r="M48" s="43">
        <v>510</v>
      </c>
      <c r="N48" s="42"/>
      <c r="O48" s="42"/>
      <c r="P48" s="42"/>
      <c r="Q48" s="42"/>
    </row>
    <row r="49" spans="1:19" s="9" customFormat="1" ht="12.75">
      <c r="A49" s="14"/>
      <c r="B49" s="55"/>
      <c r="C49" s="80"/>
      <c r="D49" s="10"/>
      <c r="E49" s="5"/>
      <c r="F49" s="10"/>
      <c r="G49" s="5"/>
      <c r="H49" s="5"/>
      <c r="I49" s="10"/>
      <c r="J49" s="10"/>
      <c r="K49" s="11"/>
      <c r="L49" s="10"/>
      <c r="M49" s="11"/>
      <c r="N49" s="11"/>
      <c r="O49" s="11"/>
      <c r="P49" s="11"/>
      <c r="Q49" s="12"/>
    </row>
    <row r="50" spans="1:19" s="9" customFormat="1" ht="12.75">
      <c r="A50" s="18" t="s">
        <v>62</v>
      </c>
      <c r="B50" s="56"/>
      <c r="C50" s="81"/>
      <c r="D50" s="10"/>
      <c r="E50" s="5"/>
      <c r="F50" s="10"/>
      <c r="G50" s="5"/>
      <c r="H50" s="5"/>
      <c r="I50" s="10"/>
      <c r="J50" s="10"/>
      <c r="K50" s="11"/>
      <c r="L50" s="10"/>
      <c r="M50" s="11"/>
      <c r="N50" s="11"/>
      <c r="O50" s="11"/>
      <c r="P50" s="11"/>
      <c r="Q50" s="12"/>
    </row>
    <row r="51" spans="1:19" s="27" customFormat="1" ht="30" customHeight="1">
      <c r="A51" s="21" t="s">
        <v>17</v>
      </c>
      <c r="B51" s="54"/>
      <c r="C51" s="78"/>
      <c r="D51" s="22" t="s">
        <v>21</v>
      </c>
      <c r="E51" s="22" t="s">
        <v>143</v>
      </c>
      <c r="F51" s="23">
        <v>45748</v>
      </c>
      <c r="G51" s="23">
        <v>46022</v>
      </c>
      <c r="H51" s="22" t="s">
        <v>50</v>
      </c>
      <c r="I51" s="23" t="s">
        <v>18</v>
      </c>
      <c r="J51" s="24"/>
      <c r="K51" s="25">
        <v>0</v>
      </c>
      <c r="L51" s="24"/>
      <c r="M51" s="25"/>
      <c r="N51" s="25"/>
      <c r="O51" s="25"/>
      <c r="P51" s="25"/>
      <c r="Q51" s="26"/>
    </row>
    <row r="52" spans="1:19" s="27" customFormat="1" ht="35.25" customHeight="1">
      <c r="A52" s="28" t="s">
        <v>63</v>
      </c>
      <c r="B52" s="100" t="s">
        <v>163</v>
      </c>
      <c r="C52" s="72"/>
      <c r="D52" s="52" t="s">
        <v>162</v>
      </c>
      <c r="E52" s="22" t="s">
        <v>143</v>
      </c>
      <c r="F52" s="23">
        <v>44431</v>
      </c>
      <c r="G52" s="23"/>
      <c r="H52" s="22"/>
      <c r="I52" s="22" t="s">
        <v>46</v>
      </c>
      <c r="J52" s="24"/>
      <c r="K52" s="25">
        <v>0</v>
      </c>
      <c r="L52" s="24"/>
      <c r="M52" s="25">
        <v>0</v>
      </c>
      <c r="N52" s="25">
        <v>0</v>
      </c>
      <c r="O52" s="25">
        <v>0</v>
      </c>
      <c r="P52" s="25">
        <v>0</v>
      </c>
      <c r="Q52" s="26">
        <f>M52+N52+O52+P52</f>
        <v>0</v>
      </c>
    </row>
    <row r="53" spans="1:19" s="27" customFormat="1" ht="27" customHeight="1">
      <c r="A53" s="21" t="s">
        <v>64</v>
      </c>
      <c r="B53" s="54"/>
      <c r="C53" s="96">
        <v>45481</v>
      </c>
      <c r="D53" s="17" t="s">
        <v>136</v>
      </c>
      <c r="E53" s="22" t="s">
        <v>143</v>
      </c>
      <c r="F53" s="5"/>
      <c r="G53" s="5"/>
      <c r="H53" s="10"/>
      <c r="I53" s="10"/>
      <c r="J53" s="9"/>
      <c r="K53" s="11"/>
      <c r="L53" s="10"/>
      <c r="M53" s="11"/>
      <c r="N53" s="11">
        <v>0</v>
      </c>
      <c r="O53" s="11">
        <v>0</v>
      </c>
      <c r="P53" s="11">
        <v>0</v>
      </c>
      <c r="Q53" s="12">
        <f>SUM(M53:P53)</f>
        <v>0</v>
      </c>
    </row>
    <row r="54" spans="1:19" s="27" customFormat="1" ht="25.5" customHeight="1">
      <c r="A54" s="30" t="s">
        <v>77</v>
      </c>
      <c r="B54" s="57"/>
      <c r="C54" s="82"/>
      <c r="D54" s="22"/>
      <c r="E54" s="22" t="s">
        <v>143</v>
      </c>
      <c r="F54" s="31"/>
      <c r="G54" s="23"/>
      <c r="H54" s="22" t="s">
        <v>50</v>
      </c>
      <c r="I54" s="22" t="s">
        <v>80</v>
      </c>
      <c r="J54" s="24"/>
      <c r="K54" s="11">
        <f t="shared" ref="K54:K55" si="5">Q54</f>
        <v>538.46</v>
      </c>
      <c r="L54" s="24"/>
      <c r="M54" s="25">
        <v>538.46</v>
      </c>
      <c r="N54" s="25">
        <v>0</v>
      </c>
      <c r="O54" s="25">
        <v>0</v>
      </c>
      <c r="P54" s="25">
        <v>0</v>
      </c>
      <c r="Q54" s="26">
        <f t="shared" si="2"/>
        <v>538.46</v>
      </c>
    </row>
    <row r="55" spans="1:19" s="9" customFormat="1" ht="30" customHeight="1">
      <c r="A55" s="14" t="s">
        <v>78</v>
      </c>
      <c r="B55" s="55"/>
      <c r="C55" s="80"/>
      <c r="D55" s="5" t="s">
        <v>76</v>
      </c>
      <c r="E55" s="22" t="s">
        <v>143</v>
      </c>
      <c r="F55" s="10"/>
      <c r="G55" s="5"/>
      <c r="H55" s="5"/>
      <c r="I55" s="10"/>
      <c r="J55" s="10"/>
      <c r="K55" s="11">
        <f t="shared" si="5"/>
        <v>0</v>
      </c>
      <c r="L55" s="10"/>
      <c r="M55" s="25">
        <v>0</v>
      </c>
      <c r="N55" s="25">
        <v>0</v>
      </c>
      <c r="O55" s="25">
        <v>0</v>
      </c>
      <c r="P55" s="25">
        <v>0</v>
      </c>
      <c r="Q55" s="26">
        <f t="shared" si="2"/>
        <v>0</v>
      </c>
    </row>
    <row r="56" spans="1:19" s="9" customFormat="1" ht="30" customHeight="1">
      <c r="A56" s="62" t="s">
        <v>132</v>
      </c>
      <c r="B56" s="5" t="s">
        <v>134</v>
      </c>
      <c r="C56" s="83"/>
      <c r="D56" s="17" t="s">
        <v>133</v>
      </c>
      <c r="E56" s="22" t="s">
        <v>143</v>
      </c>
      <c r="F56" s="6">
        <v>45658</v>
      </c>
      <c r="G56" s="6">
        <v>46022</v>
      </c>
      <c r="H56" s="10"/>
      <c r="I56" s="10"/>
      <c r="J56" s="11"/>
      <c r="K56" s="11">
        <f>Q56</f>
        <v>600</v>
      </c>
      <c r="L56" s="11"/>
      <c r="M56" s="11">
        <v>150</v>
      </c>
      <c r="N56" s="11">
        <v>150</v>
      </c>
      <c r="O56" s="11">
        <v>150</v>
      </c>
      <c r="P56" s="11">
        <v>150</v>
      </c>
      <c r="Q56" s="26">
        <f t="shared" si="2"/>
        <v>600</v>
      </c>
      <c r="R56" s="151"/>
      <c r="S56" s="143"/>
    </row>
    <row r="57" spans="1:19" s="9" customFormat="1" ht="30" customHeight="1">
      <c r="A57" s="62" t="s">
        <v>137</v>
      </c>
      <c r="C57" s="77"/>
      <c r="D57" s="17" t="s">
        <v>138</v>
      </c>
      <c r="E57" s="22" t="s">
        <v>143</v>
      </c>
      <c r="F57" s="10"/>
      <c r="G57" s="5"/>
      <c r="H57" s="5"/>
      <c r="I57" s="10"/>
      <c r="J57" s="10"/>
      <c r="K57" s="11"/>
      <c r="L57" s="10"/>
      <c r="M57" s="11">
        <v>0</v>
      </c>
      <c r="N57" s="11">
        <v>0</v>
      </c>
      <c r="O57" s="11">
        <v>0</v>
      </c>
      <c r="P57" s="11">
        <v>0</v>
      </c>
      <c r="Q57" s="12">
        <f t="shared" ref="Q57" si="6">SUM(M57:P57)</f>
        <v>0</v>
      </c>
    </row>
    <row r="58" spans="1:19" s="9" customFormat="1" ht="12.75">
      <c r="A58" s="18" t="s">
        <v>65</v>
      </c>
      <c r="B58" s="56"/>
      <c r="C58" s="81"/>
      <c r="D58" s="10"/>
      <c r="E58" s="22"/>
      <c r="F58" s="10"/>
      <c r="G58" s="5"/>
      <c r="H58" s="5"/>
      <c r="I58" s="10"/>
      <c r="J58" s="10"/>
      <c r="K58" s="11"/>
      <c r="L58" s="10"/>
      <c r="M58" s="11"/>
      <c r="N58" s="11"/>
      <c r="O58" s="11"/>
      <c r="P58" s="11"/>
      <c r="Q58" s="12"/>
    </row>
    <row r="59" spans="1:19" s="27" customFormat="1" ht="48.75" customHeight="1">
      <c r="A59" s="28" t="s">
        <v>68</v>
      </c>
      <c r="B59" s="52"/>
      <c r="C59" s="72"/>
      <c r="D59" s="22" t="s">
        <v>66</v>
      </c>
      <c r="E59" s="22" t="s">
        <v>143</v>
      </c>
      <c r="F59" s="23">
        <v>45901</v>
      </c>
      <c r="G59" s="23">
        <v>45900</v>
      </c>
      <c r="H59" s="22" t="s">
        <v>50</v>
      </c>
      <c r="I59" s="22" t="s">
        <v>47</v>
      </c>
      <c r="J59" s="24"/>
      <c r="K59" s="25">
        <f>M59</f>
        <v>1622.82</v>
      </c>
      <c r="L59" s="25"/>
      <c r="M59" s="25">
        <v>1622.82</v>
      </c>
      <c r="N59" s="25">
        <v>0</v>
      </c>
      <c r="O59" s="25">
        <v>0</v>
      </c>
      <c r="P59" s="25">
        <v>0</v>
      </c>
      <c r="Q59" s="26">
        <f>M59+N59+O59+P59</f>
        <v>1622.82</v>
      </c>
    </row>
    <row r="60" spans="1:19" s="27" customFormat="1" ht="47.25" customHeight="1">
      <c r="A60" s="28" t="s">
        <v>102</v>
      </c>
      <c r="B60" s="52"/>
      <c r="C60" s="72"/>
      <c r="D60" s="22" t="s">
        <v>66</v>
      </c>
      <c r="E60" s="22" t="s">
        <v>143</v>
      </c>
      <c r="F60" s="23">
        <v>45658</v>
      </c>
      <c r="G60" s="23">
        <v>46022</v>
      </c>
      <c r="H60" s="29" t="s">
        <v>67</v>
      </c>
      <c r="I60" s="24"/>
      <c r="J60" s="24"/>
      <c r="K60" s="25">
        <f>M60</f>
        <v>792</v>
      </c>
      <c r="L60" s="24"/>
      <c r="M60" s="25">
        <v>792</v>
      </c>
      <c r="N60" s="25">
        <v>0</v>
      </c>
      <c r="O60" s="25">
        <v>0</v>
      </c>
      <c r="P60" s="25">
        <v>0</v>
      </c>
      <c r="Q60" s="26">
        <f t="shared" si="2"/>
        <v>792</v>
      </c>
      <c r="R60" s="151"/>
      <c r="S60" s="143"/>
    </row>
    <row r="61" spans="1:19" s="27" customFormat="1" ht="30" customHeight="1">
      <c r="A61" s="34" t="s">
        <v>176</v>
      </c>
      <c r="B61" s="58"/>
      <c r="C61" s="84"/>
      <c r="D61" s="36" t="s">
        <v>70</v>
      </c>
      <c r="E61" s="22" t="s">
        <v>143</v>
      </c>
      <c r="F61" s="37">
        <v>45658</v>
      </c>
      <c r="G61" s="37">
        <v>46022</v>
      </c>
      <c r="H61" s="38" t="s">
        <v>67</v>
      </c>
      <c r="I61" s="35"/>
      <c r="J61" s="35"/>
      <c r="K61" s="39">
        <v>505.56</v>
      </c>
      <c r="L61" s="35"/>
      <c r="M61" s="39"/>
      <c r="N61" s="39">
        <v>0</v>
      </c>
      <c r="O61" s="39">
        <v>0</v>
      </c>
      <c r="P61" s="39">
        <v>0</v>
      </c>
      <c r="Q61" s="40">
        <f t="shared" si="2"/>
        <v>0</v>
      </c>
      <c r="R61" s="151"/>
      <c r="S61" s="152"/>
    </row>
    <row r="62" spans="1:19" s="27" customFormat="1" ht="37.5" customHeight="1">
      <c r="A62" s="29" t="s">
        <v>82</v>
      </c>
      <c r="B62" s="29"/>
      <c r="C62" s="85"/>
      <c r="D62" s="29" t="s">
        <v>81</v>
      </c>
      <c r="E62" s="22" t="s">
        <v>143</v>
      </c>
      <c r="F62" s="23">
        <v>45658</v>
      </c>
      <c r="G62" s="23">
        <v>46022</v>
      </c>
      <c r="H62" s="29"/>
      <c r="I62" s="24"/>
      <c r="J62" s="24"/>
      <c r="K62" s="67">
        <v>367.92</v>
      </c>
      <c r="L62" s="24"/>
      <c r="M62" s="25"/>
      <c r="N62" s="39">
        <v>0</v>
      </c>
      <c r="O62" s="39">
        <v>0</v>
      </c>
      <c r="P62" s="39">
        <v>0</v>
      </c>
      <c r="Q62" s="40">
        <f t="shared" si="2"/>
        <v>0</v>
      </c>
    </row>
    <row r="63" spans="1:19" s="27" customFormat="1" ht="37.5" customHeight="1">
      <c r="A63" s="29" t="s">
        <v>103</v>
      </c>
      <c r="B63" s="29"/>
      <c r="C63" s="85"/>
      <c r="D63" s="41"/>
      <c r="E63" s="22" t="s">
        <v>143</v>
      </c>
      <c r="F63" s="23">
        <v>45658</v>
      </c>
      <c r="G63" s="23">
        <v>46022</v>
      </c>
      <c r="H63" s="29"/>
      <c r="I63" s="24"/>
      <c r="J63" s="24"/>
      <c r="K63" s="25">
        <v>337.26</v>
      </c>
      <c r="L63" s="24"/>
      <c r="M63" s="25"/>
      <c r="N63" s="39">
        <v>0</v>
      </c>
      <c r="O63" s="39">
        <v>0</v>
      </c>
      <c r="P63" s="39">
        <v>0</v>
      </c>
      <c r="Q63" s="40">
        <f t="shared" si="2"/>
        <v>0</v>
      </c>
      <c r="R63" s="151"/>
      <c r="S63" s="152"/>
    </row>
    <row r="64" spans="1:19">
      <c r="C64" s="86"/>
    </row>
    <row r="65" spans="1:19" s="9" customFormat="1" ht="12.75">
      <c r="A65" s="19" t="s">
        <v>167</v>
      </c>
      <c r="B65" s="19"/>
      <c r="C65" s="69"/>
      <c r="E65" s="16"/>
      <c r="G65" s="16"/>
      <c r="H65" s="16"/>
    </row>
    <row r="66" spans="1:19">
      <c r="A66" s="42" t="s">
        <v>168</v>
      </c>
      <c r="B66" s="42"/>
      <c r="C66" s="75"/>
      <c r="D66" s="32" t="s">
        <v>169</v>
      </c>
      <c r="E66" s="32"/>
      <c r="F66" s="33">
        <v>44795</v>
      </c>
      <c r="G66" s="44">
        <v>45890</v>
      </c>
      <c r="H66" s="32"/>
      <c r="I66" s="42"/>
      <c r="J66" s="42"/>
      <c r="K66" s="43"/>
      <c r="L66" s="42"/>
      <c r="M66" s="42"/>
      <c r="N66" s="42"/>
      <c r="O66" s="42"/>
      <c r="P66" s="42"/>
      <c r="Q66" s="42"/>
    </row>
    <row r="67" spans="1:19">
      <c r="C67" s="86"/>
    </row>
    <row r="68" spans="1:19">
      <c r="C68" s="86"/>
    </row>
    <row r="69" spans="1:19" s="9" customFormat="1" ht="12.75">
      <c r="A69" s="19" t="s">
        <v>89</v>
      </c>
      <c r="B69" s="19"/>
      <c r="C69" s="69"/>
      <c r="E69" s="16"/>
      <c r="G69" s="16"/>
      <c r="H69" s="16"/>
    </row>
    <row r="70" spans="1:19" s="27" customFormat="1" ht="25.5">
      <c r="A70" s="28" t="s">
        <v>90</v>
      </c>
      <c r="B70" s="52"/>
      <c r="C70" s="72"/>
      <c r="D70" s="29" t="s">
        <v>91</v>
      </c>
      <c r="E70" s="22"/>
      <c r="F70" s="129" t="s">
        <v>92</v>
      </c>
      <c r="G70" s="130"/>
      <c r="H70" s="22" t="s">
        <v>50</v>
      </c>
      <c r="I70" s="23"/>
      <c r="J70" s="24"/>
      <c r="K70" s="25">
        <v>0</v>
      </c>
      <c r="L70" s="24"/>
      <c r="M70" s="25">
        <v>0</v>
      </c>
      <c r="N70" s="25">
        <v>0</v>
      </c>
      <c r="O70" s="25">
        <v>0</v>
      </c>
      <c r="P70" s="25">
        <v>0</v>
      </c>
      <c r="Q70" s="26">
        <f>M70+N70+O70+P70</f>
        <v>0</v>
      </c>
    </row>
    <row r="71" spans="1:19" s="9" customFormat="1" ht="34.5" customHeight="1">
      <c r="A71" s="17" t="s">
        <v>142</v>
      </c>
      <c r="B71" s="10"/>
      <c r="C71" s="87"/>
      <c r="D71" s="5" t="s">
        <v>144</v>
      </c>
      <c r="E71" s="22" t="s">
        <v>51</v>
      </c>
      <c r="F71" s="5"/>
      <c r="G71" s="5"/>
      <c r="H71" s="10"/>
      <c r="I71" s="10"/>
      <c r="J71" s="10"/>
      <c r="K71" s="11">
        <v>1354.69</v>
      </c>
      <c r="L71" s="10"/>
      <c r="M71" s="10"/>
      <c r="N71" s="10"/>
      <c r="O71" s="10"/>
      <c r="P71" s="10"/>
      <c r="Q71" s="10"/>
      <c r="R71" s="142"/>
      <c r="S71" s="143"/>
    </row>
    <row r="72" spans="1:19" s="9" customFormat="1" ht="12.75">
      <c r="C72" s="77"/>
      <c r="E72" s="16"/>
      <c r="G72" s="16"/>
      <c r="H72" s="16"/>
    </row>
    <row r="73" spans="1:19" s="9" customFormat="1" ht="12.75">
      <c r="C73" s="77"/>
      <c r="E73" s="16"/>
      <c r="G73" s="16"/>
      <c r="H73" s="16"/>
    </row>
    <row r="74" spans="1:19" s="9" customFormat="1" ht="12.75">
      <c r="A74" s="10" t="s">
        <v>96</v>
      </c>
      <c r="B74" s="10"/>
      <c r="C74" s="87"/>
      <c r="D74" s="5" t="s">
        <v>191</v>
      </c>
      <c r="E74" s="5" t="s">
        <v>51</v>
      </c>
      <c r="F74" s="10" t="s">
        <v>192</v>
      </c>
      <c r="G74" s="5" t="s">
        <v>193</v>
      </c>
      <c r="H74" s="22" t="s">
        <v>50</v>
      </c>
      <c r="I74" s="10"/>
      <c r="J74" s="10"/>
      <c r="K74" s="11">
        <v>107.9</v>
      </c>
      <c r="L74" s="10"/>
      <c r="M74" s="10"/>
      <c r="N74" s="10"/>
      <c r="O74" s="10"/>
      <c r="P74" s="10"/>
      <c r="Q74" s="10"/>
      <c r="R74" s="9" t="s">
        <v>194</v>
      </c>
    </row>
    <row r="75" spans="1:19" s="9" customFormat="1" ht="12.75">
      <c r="E75" s="16"/>
      <c r="G75" s="16"/>
      <c r="H75" s="16"/>
    </row>
    <row r="76" spans="1:19" s="9" customFormat="1" ht="25.5">
      <c r="A76" s="10" t="s">
        <v>172</v>
      </c>
      <c r="B76" s="17" t="s">
        <v>201</v>
      </c>
      <c r="C76" s="10"/>
      <c r="D76" s="5" t="s">
        <v>173</v>
      </c>
      <c r="E76" s="16"/>
      <c r="G76" s="16"/>
      <c r="H76" s="16"/>
    </row>
    <row r="77" spans="1:19" s="9" customFormat="1" ht="25.5">
      <c r="A77" s="10" t="s">
        <v>172</v>
      </c>
      <c r="B77" s="17" t="s">
        <v>202</v>
      </c>
      <c r="C77" s="114"/>
      <c r="D77" s="5" t="s">
        <v>173</v>
      </c>
      <c r="E77" s="16"/>
      <c r="G77" s="16"/>
      <c r="H77" s="16"/>
    </row>
    <row r="78" spans="1:19" s="9" customFormat="1" ht="40.5" customHeight="1">
      <c r="A78" s="10" t="s">
        <v>172</v>
      </c>
      <c r="B78" s="17" t="s">
        <v>202</v>
      </c>
      <c r="C78" s="10"/>
      <c r="D78" s="115" t="s">
        <v>198</v>
      </c>
      <c r="E78" s="16"/>
      <c r="G78" s="16"/>
      <c r="H78" s="16"/>
    </row>
    <row r="79" spans="1:19" s="9" customFormat="1" ht="32.25" customHeight="1">
      <c r="A79" s="88" t="s">
        <v>151</v>
      </c>
      <c r="B79" s="103" t="s">
        <v>166</v>
      </c>
      <c r="E79" s="16"/>
      <c r="G79" s="16"/>
      <c r="H79" s="16"/>
    </row>
    <row r="80" spans="1:19" s="9" customFormat="1" ht="37.5" customHeight="1">
      <c r="A80" s="88" t="s">
        <v>150</v>
      </c>
      <c r="B80" s="103" t="s">
        <v>166</v>
      </c>
      <c r="E80" s="16"/>
      <c r="G80" s="16"/>
      <c r="H80" s="16"/>
    </row>
    <row r="81" spans="1:8" s="9" customFormat="1" ht="12.75">
      <c r="E81" s="16"/>
      <c r="G81" s="16"/>
      <c r="H81" s="16"/>
    </row>
    <row r="82" spans="1:8" s="9" customFormat="1" ht="12.75">
      <c r="E82" s="16"/>
      <c r="G82" s="16"/>
      <c r="H82" s="16"/>
    </row>
    <row r="84" spans="1:8" s="9" customFormat="1" ht="12.75">
      <c r="E84" s="16"/>
      <c r="G84" s="16"/>
      <c r="H84" s="16"/>
    </row>
    <row r="85" spans="1:8" s="9" customFormat="1" ht="12.75">
      <c r="E85" s="16"/>
      <c r="G85" s="16"/>
      <c r="H85" s="16"/>
    </row>
    <row r="86" spans="1:8" s="9" customFormat="1" ht="12.75">
      <c r="E86" s="16"/>
      <c r="G86" s="16"/>
      <c r="H86" s="16"/>
    </row>
    <row r="87" spans="1:8" s="9" customFormat="1" ht="12.75">
      <c r="E87" s="16"/>
      <c r="G87" s="16"/>
      <c r="H87" s="16"/>
    </row>
    <row r="88" spans="1:8" s="9" customFormat="1" ht="111" customHeight="1">
      <c r="A88" s="144" t="s">
        <v>153</v>
      </c>
      <c r="B88" s="145"/>
      <c r="C88" s="145"/>
      <c r="D88" s="145"/>
      <c r="E88" s="145"/>
      <c r="F88" s="146"/>
      <c r="G88" s="16"/>
      <c r="H88" s="16"/>
    </row>
    <row r="89" spans="1:8" s="9" customFormat="1" ht="12.75">
      <c r="E89" s="16"/>
      <c r="G89" s="16"/>
      <c r="H89" s="16"/>
    </row>
    <row r="90" spans="1:8" s="9" customFormat="1" ht="12.75">
      <c r="E90" s="16"/>
      <c r="G90" s="16"/>
      <c r="H90" s="16"/>
    </row>
    <row r="91" spans="1:8" s="9" customFormat="1" ht="12.75">
      <c r="E91" s="16"/>
      <c r="G91" s="16"/>
      <c r="H91" s="16"/>
    </row>
    <row r="92" spans="1:8" s="9" customFormat="1" ht="12.75">
      <c r="E92" s="16"/>
      <c r="G92" s="16"/>
      <c r="H92" s="16"/>
    </row>
    <row r="93" spans="1:8" s="9" customFormat="1" ht="12.75">
      <c r="E93" s="16"/>
      <c r="G93" s="16"/>
      <c r="H93" s="16"/>
    </row>
    <row r="94" spans="1:8" s="9" customFormat="1" ht="12.75">
      <c r="E94" s="16"/>
      <c r="G94" s="16"/>
      <c r="H94" s="16"/>
    </row>
    <row r="95" spans="1:8" s="9" customFormat="1" ht="12.75">
      <c r="E95" s="16"/>
      <c r="G95" s="16"/>
      <c r="H95" s="16"/>
    </row>
    <row r="96" spans="1:8" s="9" customFormat="1" ht="12.75">
      <c r="E96" s="16"/>
      <c r="G96" s="16"/>
      <c r="H96" s="16"/>
    </row>
    <row r="100" spans="8:8" ht="15">
      <c r="H100"/>
    </row>
  </sheetData>
  <mergeCells count="13">
    <mergeCell ref="R63:S63"/>
    <mergeCell ref="F70:G70"/>
    <mergeCell ref="R71:S71"/>
    <mergeCell ref="A88:F88"/>
    <mergeCell ref="D6:G6"/>
    <mergeCell ref="K20:K21"/>
    <mergeCell ref="R34:S34"/>
    <mergeCell ref="R56:S56"/>
    <mergeCell ref="R60:S60"/>
    <mergeCell ref="R61:S61"/>
    <mergeCell ref="D20:D21"/>
    <mergeCell ref="E20:E21"/>
    <mergeCell ref="F20:F21"/>
  </mergeCells>
  <printOptions horizontalCentered="1"/>
  <pageMargins left="0.11811023622047245" right="0.11811023622047245" top="0.74803149606299213" bottom="0.74803149606299213" header="0.31496062992125984" footer="0.31496062992125984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topLeftCell="A7" workbookViewId="0">
      <selection activeCell="K12" sqref="K12"/>
    </sheetView>
  </sheetViews>
  <sheetFormatPr baseColWidth="10" defaultRowHeight="14.25"/>
  <cols>
    <col min="1" max="2" width="26.28515625" style="8" customWidth="1"/>
    <col min="3" max="3" width="17.28515625" style="8" customWidth="1"/>
    <col min="4" max="4" width="19.28515625" style="8" customWidth="1"/>
    <col min="5" max="5" width="10.7109375" style="15" customWidth="1"/>
    <col min="6" max="6" width="13" style="8" customWidth="1"/>
    <col min="7" max="7" width="13" style="15" customWidth="1"/>
    <col min="8" max="8" width="14.42578125" style="15" customWidth="1"/>
    <col min="9" max="9" width="17.42578125" style="8" customWidth="1"/>
    <col min="10" max="16384" width="11.42578125" style="8"/>
  </cols>
  <sheetData>
    <row r="1" spans="1:21">
      <c r="A1" s="2" t="s">
        <v>0</v>
      </c>
      <c r="B1" s="50"/>
      <c r="C1" s="50"/>
    </row>
    <row r="2" spans="1:21" ht="15" thickBot="1">
      <c r="A2" s="3" t="s">
        <v>1</v>
      </c>
      <c r="B2" s="50"/>
      <c r="C2" s="50"/>
    </row>
    <row r="5" spans="1:21" ht="15" thickBot="1"/>
    <row r="6" spans="1:21" s="9" customFormat="1" ht="13.5" thickBot="1">
      <c r="A6" s="4" t="s">
        <v>2</v>
      </c>
      <c r="B6" s="51"/>
      <c r="C6" s="51"/>
      <c r="D6" s="127" t="s">
        <v>100</v>
      </c>
      <c r="E6" s="127"/>
      <c r="F6" s="127"/>
      <c r="G6" s="128"/>
      <c r="H6" s="16"/>
    </row>
    <row r="7" spans="1:21" s="9" customFormat="1" ht="12.75">
      <c r="E7" s="16"/>
      <c r="G7" s="16"/>
      <c r="H7" s="16"/>
    </row>
    <row r="8" spans="1:21" s="9" customFormat="1" ht="13.5" thickBot="1">
      <c r="E8" s="16"/>
      <c r="G8" s="16"/>
      <c r="H8" s="16"/>
    </row>
    <row r="9" spans="1:21" s="9" customFormat="1" ht="76.5">
      <c r="A9" s="106" t="s">
        <v>3</v>
      </c>
      <c r="B9" s="107" t="s">
        <v>108</v>
      </c>
      <c r="C9" s="108" t="s">
        <v>145</v>
      </c>
      <c r="D9" s="46" t="s">
        <v>4</v>
      </c>
      <c r="E9" s="46" t="s">
        <v>48</v>
      </c>
      <c r="F9" s="46" t="s">
        <v>5</v>
      </c>
      <c r="G9" s="46" t="s">
        <v>6</v>
      </c>
      <c r="H9" s="46" t="s">
        <v>7</v>
      </c>
      <c r="I9" s="46" t="s">
        <v>8</v>
      </c>
      <c r="J9" s="46" t="s">
        <v>9</v>
      </c>
      <c r="K9" s="46" t="s">
        <v>10</v>
      </c>
      <c r="L9" s="46" t="s">
        <v>11</v>
      </c>
      <c r="M9" s="46" t="s">
        <v>12</v>
      </c>
      <c r="N9" s="46" t="s">
        <v>13</v>
      </c>
      <c r="O9" s="46" t="s">
        <v>14</v>
      </c>
      <c r="P9" s="47" t="s">
        <v>15</v>
      </c>
      <c r="Q9" s="48" t="s">
        <v>16</v>
      </c>
    </row>
    <row r="10" spans="1:21" s="9" customFormat="1" ht="18.75" customHeight="1">
      <c r="A10" s="19" t="s">
        <v>71</v>
      </c>
      <c r="B10" s="19"/>
      <c r="C10" s="69"/>
      <c r="E10" s="16"/>
      <c r="G10" s="16"/>
      <c r="H10" s="16"/>
    </row>
    <row r="11" spans="1:21" s="27" customFormat="1" ht="36" customHeight="1">
      <c r="A11" s="28" t="s">
        <v>31</v>
      </c>
      <c r="B11" s="52" t="s">
        <v>109</v>
      </c>
      <c r="C11" s="70">
        <v>45380</v>
      </c>
      <c r="D11" s="22" t="s">
        <v>32</v>
      </c>
      <c r="E11" s="22" t="s">
        <v>51</v>
      </c>
      <c r="F11" s="23">
        <v>44623</v>
      </c>
      <c r="G11" s="23">
        <v>45718</v>
      </c>
      <c r="H11" s="22" t="s">
        <v>50</v>
      </c>
      <c r="I11" s="23" t="s">
        <v>33</v>
      </c>
      <c r="J11" s="24"/>
      <c r="K11" s="25">
        <v>220.15</v>
      </c>
      <c r="L11" s="24"/>
      <c r="M11" s="25">
        <v>220.15</v>
      </c>
      <c r="N11" s="25">
        <v>0</v>
      </c>
      <c r="O11" s="25">
        <v>0</v>
      </c>
      <c r="P11" s="25">
        <v>0</v>
      </c>
      <c r="Q11" s="26">
        <f>M11+N11+O11+P11</f>
        <v>220.15</v>
      </c>
    </row>
    <row r="12" spans="1:21" s="27" customFormat="1" ht="36" customHeight="1">
      <c r="A12" s="28" t="s">
        <v>31</v>
      </c>
      <c r="B12" s="52" t="s">
        <v>109</v>
      </c>
      <c r="C12" s="70"/>
      <c r="D12" s="22" t="s">
        <v>73</v>
      </c>
      <c r="E12" s="22" t="s">
        <v>51</v>
      </c>
      <c r="F12" s="23">
        <v>45783</v>
      </c>
      <c r="G12" s="23">
        <v>46878</v>
      </c>
      <c r="H12" s="22" t="s">
        <v>50</v>
      </c>
      <c r="I12" s="23"/>
      <c r="J12" s="24"/>
      <c r="K12" s="25">
        <v>2265.09</v>
      </c>
      <c r="L12" s="24"/>
      <c r="M12" s="25"/>
      <c r="N12" s="25"/>
      <c r="O12" s="25"/>
      <c r="P12" s="25"/>
      <c r="Q12" s="112"/>
    </row>
    <row r="13" spans="1:21" s="27" customFormat="1" ht="29.25" customHeight="1">
      <c r="A13" s="28" t="s">
        <v>72</v>
      </c>
      <c r="B13" s="52" t="s">
        <v>109</v>
      </c>
      <c r="C13" s="70">
        <v>45602</v>
      </c>
      <c r="D13" s="22" t="s">
        <v>73</v>
      </c>
      <c r="E13" s="22" t="s">
        <v>51</v>
      </c>
      <c r="F13" s="23">
        <v>45783</v>
      </c>
      <c r="G13" s="23">
        <v>46878</v>
      </c>
      <c r="H13" s="22" t="s">
        <v>50</v>
      </c>
      <c r="I13" s="23"/>
      <c r="J13" s="24"/>
      <c r="K13" s="25"/>
      <c r="L13" s="24"/>
      <c r="M13" s="25"/>
      <c r="N13" s="24"/>
      <c r="O13" s="24"/>
      <c r="P13" s="24"/>
      <c r="Q13" s="25"/>
      <c r="R13" s="66" t="s">
        <v>129</v>
      </c>
      <c r="S13" s="66"/>
      <c r="T13" s="66"/>
      <c r="U13" s="27" t="s">
        <v>175</v>
      </c>
    </row>
    <row r="14" spans="1:21" ht="35.25" customHeight="1">
      <c r="A14" s="60" t="s">
        <v>106</v>
      </c>
      <c r="B14" s="60" t="s">
        <v>110</v>
      </c>
      <c r="C14" s="71">
        <v>45414</v>
      </c>
      <c r="D14" s="32" t="s">
        <v>101</v>
      </c>
      <c r="E14" s="22" t="s">
        <v>51</v>
      </c>
      <c r="F14" s="33">
        <v>45292</v>
      </c>
      <c r="G14" s="44">
        <v>45657</v>
      </c>
      <c r="H14" s="22" t="s">
        <v>50</v>
      </c>
      <c r="I14" s="42"/>
      <c r="J14" s="42"/>
      <c r="K14" s="43">
        <v>456</v>
      </c>
      <c r="L14" s="42"/>
      <c r="M14" s="43">
        <v>456</v>
      </c>
      <c r="N14" s="42"/>
      <c r="O14" s="42"/>
      <c r="P14" s="42"/>
      <c r="Q14" s="42"/>
    </row>
    <row r="15" spans="1:21" ht="79.5" customHeight="1">
      <c r="A15" s="60" t="s">
        <v>113</v>
      </c>
      <c r="B15" s="60" t="s">
        <v>114</v>
      </c>
      <c r="C15" s="71">
        <v>45646</v>
      </c>
      <c r="D15" s="22" t="s">
        <v>131</v>
      </c>
      <c r="E15" s="22" t="s">
        <v>51</v>
      </c>
      <c r="F15" s="33"/>
      <c r="G15" s="44"/>
      <c r="H15" s="22" t="s">
        <v>50</v>
      </c>
      <c r="I15" s="42"/>
      <c r="J15" s="42"/>
      <c r="K15" s="43">
        <f>M15</f>
        <v>352.51</v>
      </c>
      <c r="L15" s="42"/>
      <c r="M15" s="43">
        <v>352.51</v>
      </c>
      <c r="N15" s="42"/>
      <c r="O15" s="42"/>
      <c r="P15" s="42"/>
      <c r="Q15" s="42"/>
    </row>
    <row r="16" spans="1:21" ht="79.5" customHeight="1">
      <c r="A16" s="60" t="s">
        <v>119</v>
      </c>
      <c r="B16" s="60" t="s">
        <v>110</v>
      </c>
      <c r="C16" s="101">
        <v>45637</v>
      </c>
      <c r="D16" s="32" t="s">
        <v>101</v>
      </c>
      <c r="E16" s="22" t="s">
        <v>51</v>
      </c>
      <c r="F16" s="33"/>
      <c r="G16" s="44"/>
      <c r="H16" s="22"/>
      <c r="I16" s="42"/>
      <c r="J16" s="42"/>
      <c r="K16" s="43">
        <v>936</v>
      </c>
      <c r="L16" s="42"/>
      <c r="M16" s="43">
        <v>936</v>
      </c>
      <c r="N16" s="42"/>
      <c r="O16" s="42"/>
      <c r="P16" s="42"/>
      <c r="Q16" s="42"/>
    </row>
    <row r="17" spans="1:17" ht="141.75" customHeight="1">
      <c r="A17" s="90" t="s">
        <v>152</v>
      </c>
      <c r="B17" s="65" t="s">
        <v>154</v>
      </c>
      <c r="C17" s="102" t="s">
        <v>165</v>
      </c>
      <c r="D17" s="32"/>
      <c r="E17" s="22"/>
      <c r="F17" s="33"/>
      <c r="G17" s="44"/>
      <c r="H17" s="22"/>
      <c r="I17" s="42"/>
      <c r="J17" s="42"/>
      <c r="K17" s="43"/>
      <c r="L17" s="42"/>
      <c r="M17" s="42"/>
      <c r="N17" s="42"/>
      <c r="O17" s="42"/>
      <c r="P17" s="42"/>
      <c r="Q17" s="42"/>
    </row>
    <row r="18" spans="1:17" ht="57.75" customHeight="1">
      <c r="A18" s="60" t="s">
        <v>120</v>
      </c>
      <c r="B18" s="52" t="s">
        <v>109</v>
      </c>
      <c r="C18" s="70">
        <v>45632</v>
      </c>
      <c r="D18" s="32" t="s">
        <v>73</v>
      </c>
      <c r="E18" s="22" t="s">
        <v>51</v>
      </c>
      <c r="F18" s="33"/>
      <c r="G18" s="44"/>
      <c r="H18" s="22"/>
      <c r="I18" s="42"/>
      <c r="J18" s="42"/>
      <c r="K18" s="43">
        <f>M18</f>
        <v>420</v>
      </c>
      <c r="L18" s="42"/>
      <c r="M18" s="43">
        <v>420</v>
      </c>
      <c r="N18" s="42"/>
      <c r="O18" s="42"/>
      <c r="P18" s="42"/>
      <c r="Q18" s="42"/>
    </row>
    <row r="19" spans="1:17" s="27" customFormat="1" ht="39" customHeight="1">
      <c r="A19" s="105" t="s">
        <v>121</v>
      </c>
      <c r="B19" s="52" t="s">
        <v>112</v>
      </c>
      <c r="C19" s="72"/>
      <c r="D19" s="22" t="s">
        <v>24</v>
      </c>
      <c r="E19" s="22" t="s">
        <v>51</v>
      </c>
      <c r="F19" s="23">
        <v>44652</v>
      </c>
      <c r="G19" s="23">
        <v>45747</v>
      </c>
      <c r="H19" s="22" t="s">
        <v>50</v>
      </c>
      <c r="I19" s="22" t="s">
        <v>25</v>
      </c>
      <c r="J19" s="24"/>
      <c r="K19" s="25">
        <v>331.2</v>
      </c>
      <c r="L19" s="24"/>
      <c r="M19" s="25">
        <v>331.2</v>
      </c>
      <c r="N19" s="25">
        <v>0</v>
      </c>
      <c r="O19" s="25">
        <v>0</v>
      </c>
      <c r="P19" s="25">
        <v>0</v>
      </c>
      <c r="Q19" s="26">
        <f>M19+N19+O19+P19</f>
        <v>331.2</v>
      </c>
    </row>
    <row r="20" spans="1:17" ht="33.75" customHeight="1">
      <c r="A20" s="60" t="s">
        <v>104</v>
      </c>
      <c r="B20" s="60" t="s">
        <v>111</v>
      </c>
      <c r="C20" s="71">
        <v>45566</v>
      </c>
      <c r="D20" s="32" t="s">
        <v>73</v>
      </c>
      <c r="E20" s="22" t="s">
        <v>51</v>
      </c>
      <c r="F20" s="33"/>
      <c r="G20" s="44"/>
      <c r="H20" s="22"/>
      <c r="I20" s="42"/>
      <c r="J20" s="42"/>
      <c r="K20" s="140">
        <v>684</v>
      </c>
      <c r="L20" s="42"/>
      <c r="M20" s="42"/>
      <c r="N20" s="42"/>
      <c r="O20" s="42"/>
      <c r="P20" s="42"/>
      <c r="Q20" s="49"/>
    </row>
    <row r="21" spans="1:17" ht="96" customHeight="1">
      <c r="A21" s="60" t="s">
        <v>105</v>
      </c>
      <c r="B21" s="60" t="s">
        <v>111</v>
      </c>
      <c r="C21" s="71" t="s">
        <v>170</v>
      </c>
      <c r="D21" s="32" t="s">
        <v>73</v>
      </c>
      <c r="E21" s="22" t="s">
        <v>51</v>
      </c>
      <c r="F21" s="33"/>
      <c r="G21" s="44"/>
      <c r="H21" s="22"/>
      <c r="I21" s="42"/>
      <c r="J21" s="42"/>
      <c r="K21" s="141"/>
      <c r="L21" s="42"/>
      <c r="M21" s="42"/>
      <c r="N21" s="42"/>
      <c r="O21" s="42"/>
      <c r="P21" s="42"/>
      <c r="Q21" s="49"/>
    </row>
    <row r="22" spans="1:17" ht="48" customHeight="1">
      <c r="A22" s="65" t="s">
        <v>128</v>
      </c>
      <c r="B22" s="52" t="s">
        <v>109</v>
      </c>
      <c r="C22" s="72"/>
      <c r="D22" s="42"/>
      <c r="E22" s="22" t="s">
        <v>51</v>
      </c>
      <c r="F22" s="33"/>
      <c r="G22" s="44"/>
      <c r="H22" s="22"/>
      <c r="I22" s="42"/>
      <c r="J22" s="42"/>
      <c r="K22" s="43"/>
      <c r="L22" s="42"/>
      <c r="M22" s="42"/>
      <c r="N22" s="42"/>
      <c r="O22" s="42"/>
      <c r="P22" s="42"/>
      <c r="Q22" s="49"/>
    </row>
    <row r="23" spans="1:17" s="9" customFormat="1" ht="18.75" customHeight="1">
      <c r="A23" s="13" t="s">
        <v>52</v>
      </c>
      <c r="B23" s="53"/>
      <c r="C23" s="73"/>
      <c r="D23" s="5"/>
      <c r="E23" s="5"/>
      <c r="F23" s="6"/>
      <c r="G23" s="6"/>
      <c r="H23" s="5"/>
      <c r="I23" s="5"/>
      <c r="J23" s="10"/>
      <c r="K23" s="11"/>
      <c r="L23" s="10"/>
      <c r="M23" s="11"/>
      <c r="N23" s="11"/>
      <c r="O23" s="11"/>
      <c r="P23" s="11"/>
      <c r="Q23" s="12"/>
    </row>
    <row r="24" spans="1:17" s="27" customFormat="1" ht="30" customHeight="1">
      <c r="A24" s="28" t="s">
        <v>27</v>
      </c>
      <c r="B24" s="52" t="s">
        <v>109</v>
      </c>
      <c r="C24" s="72"/>
      <c r="D24" s="22" t="s">
        <v>122</v>
      </c>
      <c r="E24" s="22" t="s">
        <v>51</v>
      </c>
      <c r="F24" s="23">
        <v>45292</v>
      </c>
      <c r="G24" s="23"/>
      <c r="H24" s="22" t="s">
        <v>123</v>
      </c>
      <c r="I24" s="22"/>
      <c r="J24" s="24"/>
      <c r="K24" s="25">
        <f>Q24</f>
        <v>24579.52</v>
      </c>
      <c r="L24" s="24"/>
      <c r="M24" s="25">
        <v>6144.88</v>
      </c>
      <c r="N24" s="25">
        <v>6144.88</v>
      </c>
      <c r="O24" s="25">
        <v>6144.88</v>
      </c>
      <c r="P24" s="25">
        <v>6144.88</v>
      </c>
      <c r="Q24" s="26">
        <f t="shared" ref="Q24:Q64" si="0">M24+N24+O24+P24</f>
        <v>24579.52</v>
      </c>
    </row>
    <row r="25" spans="1:17" s="27" customFormat="1" ht="48.75" customHeight="1">
      <c r="A25" s="28" t="s">
        <v>124</v>
      </c>
      <c r="B25" s="64" t="s">
        <v>125</v>
      </c>
      <c r="C25" s="74"/>
      <c r="D25" s="22"/>
      <c r="E25" s="22" t="s">
        <v>51</v>
      </c>
      <c r="F25" s="23"/>
      <c r="G25" s="23"/>
      <c r="H25" s="22"/>
      <c r="I25" s="22"/>
      <c r="J25" s="24"/>
      <c r="K25" s="25"/>
      <c r="L25" s="24"/>
      <c r="M25" s="25"/>
      <c r="N25" s="25"/>
      <c r="O25" s="25"/>
      <c r="P25" s="25"/>
      <c r="Q25" s="26"/>
    </row>
    <row r="26" spans="1:17" s="27" customFormat="1" ht="104.25" customHeight="1">
      <c r="A26" s="28" t="s">
        <v>146</v>
      </c>
      <c r="B26" s="52" t="s">
        <v>109</v>
      </c>
      <c r="C26" s="70">
        <v>45287</v>
      </c>
      <c r="D26" s="22" t="s">
        <v>29</v>
      </c>
      <c r="E26" s="22" t="s">
        <v>51</v>
      </c>
      <c r="F26" s="23">
        <v>44927</v>
      </c>
      <c r="G26" s="23">
        <v>46022</v>
      </c>
      <c r="H26" s="22" t="s">
        <v>50</v>
      </c>
      <c r="I26" s="22" t="s">
        <v>30</v>
      </c>
      <c r="J26" s="24"/>
      <c r="K26" s="25">
        <f>SUM(M26:P26)</f>
        <v>4447.4799999999996</v>
      </c>
      <c r="L26" s="24"/>
      <c r="M26" s="25">
        <v>1111.8699999999999</v>
      </c>
      <c r="N26" s="25">
        <v>1111.8699999999999</v>
      </c>
      <c r="O26" s="25">
        <v>1111.8699999999999</v>
      </c>
      <c r="P26" s="25">
        <v>1111.8699999999999</v>
      </c>
      <c r="Q26" s="26">
        <f t="shared" si="0"/>
        <v>4447.4799999999996</v>
      </c>
    </row>
    <row r="27" spans="1:17" s="9" customFormat="1" ht="52.5" customHeight="1">
      <c r="A27" s="60" t="s">
        <v>171</v>
      </c>
      <c r="B27" s="52" t="s">
        <v>109</v>
      </c>
      <c r="C27" s="104">
        <v>45568</v>
      </c>
      <c r="D27" s="16" t="s">
        <v>29</v>
      </c>
      <c r="E27" s="22" t="s">
        <v>51</v>
      </c>
      <c r="F27" s="10"/>
      <c r="G27" s="5"/>
      <c r="H27" s="5"/>
      <c r="I27" s="10"/>
      <c r="J27" s="10"/>
      <c r="K27" s="11">
        <v>595.20000000000005</v>
      </c>
      <c r="L27" s="10"/>
      <c r="M27" s="11">
        <v>595.20000000000005</v>
      </c>
      <c r="N27" s="10"/>
      <c r="O27" s="10"/>
      <c r="P27" s="10"/>
      <c r="Q27" s="10"/>
    </row>
    <row r="28" spans="1:17" s="27" customFormat="1" ht="83.25" customHeight="1">
      <c r="A28" s="28" t="s">
        <v>147</v>
      </c>
      <c r="B28" s="52" t="s">
        <v>109</v>
      </c>
      <c r="C28" s="70">
        <v>45287</v>
      </c>
      <c r="D28" s="22" t="s">
        <v>29</v>
      </c>
      <c r="E28" s="22" t="s">
        <v>51</v>
      </c>
      <c r="F28" s="23">
        <v>44927</v>
      </c>
      <c r="G28" s="23">
        <v>46022</v>
      </c>
      <c r="H28" s="22" t="s">
        <v>50</v>
      </c>
      <c r="I28" s="22"/>
      <c r="J28" s="24"/>
      <c r="L28" s="24"/>
      <c r="N28" s="25"/>
      <c r="O28" s="25"/>
      <c r="P28" s="25"/>
      <c r="Q28" s="26"/>
    </row>
    <row r="29" spans="1:17" s="27" customFormat="1" ht="40.5" customHeight="1">
      <c r="A29" s="28" t="s">
        <v>115</v>
      </c>
      <c r="B29" s="52" t="s">
        <v>109</v>
      </c>
      <c r="C29" s="70">
        <v>45528</v>
      </c>
      <c r="D29" s="22" t="s">
        <v>131</v>
      </c>
      <c r="E29" s="22" t="s">
        <v>51</v>
      </c>
      <c r="F29" s="23"/>
      <c r="G29" s="23"/>
      <c r="H29" s="22"/>
      <c r="I29" s="22"/>
      <c r="J29" s="24"/>
      <c r="K29" s="25">
        <f>M29</f>
        <v>595.79999999999995</v>
      </c>
      <c r="L29" s="24"/>
      <c r="M29" s="25">
        <v>595.79999999999995</v>
      </c>
      <c r="N29" s="25"/>
      <c r="O29" s="25"/>
      <c r="P29" s="25"/>
      <c r="Q29" s="26"/>
    </row>
    <row r="30" spans="1:17" s="27" customFormat="1" ht="95.25" customHeight="1">
      <c r="A30" s="28" t="s">
        <v>148</v>
      </c>
      <c r="B30" s="52" t="s">
        <v>109</v>
      </c>
      <c r="C30" s="70">
        <v>45528</v>
      </c>
      <c r="D30" s="22" t="s">
        <v>131</v>
      </c>
      <c r="E30" s="22" t="s">
        <v>51</v>
      </c>
      <c r="F30" s="23"/>
      <c r="G30" s="23"/>
      <c r="H30" s="22"/>
      <c r="I30" s="22"/>
      <c r="J30" s="24"/>
      <c r="K30" s="25">
        <f>M30</f>
        <v>1537.91</v>
      </c>
      <c r="L30" s="24"/>
      <c r="M30" s="25">
        <v>1537.91</v>
      </c>
      <c r="N30" s="25"/>
      <c r="O30" s="25"/>
      <c r="P30" s="25"/>
      <c r="Q30" s="26"/>
    </row>
    <row r="31" spans="1:17" s="27" customFormat="1" ht="25.5">
      <c r="A31" s="28" t="s">
        <v>127</v>
      </c>
      <c r="B31" s="52" t="s">
        <v>126</v>
      </c>
      <c r="C31" s="72"/>
      <c r="D31" s="22" t="s">
        <v>20</v>
      </c>
      <c r="E31" s="22" t="s">
        <v>51</v>
      </c>
      <c r="F31" s="23">
        <v>44551</v>
      </c>
      <c r="G31" s="23">
        <v>45646</v>
      </c>
      <c r="H31" s="22" t="s">
        <v>50</v>
      </c>
      <c r="I31" s="22" t="s">
        <v>26</v>
      </c>
      <c r="J31" s="24"/>
      <c r="K31" s="25">
        <v>123.06</v>
      </c>
      <c r="L31" s="24"/>
      <c r="M31" s="25">
        <v>123.06</v>
      </c>
      <c r="N31" s="25">
        <v>0</v>
      </c>
      <c r="O31" s="25">
        <v>0</v>
      </c>
      <c r="P31" s="25">
        <v>0</v>
      </c>
      <c r="Q31" s="26">
        <f>M31+N31+O31+P31</f>
        <v>123.06</v>
      </c>
    </row>
    <row r="32" spans="1:17" ht="26.25" customHeight="1">
      <c r="A32" s="8" t="s">
        <v>85</v>
      </c>
      <c r="B32" s="42"/>
      <c r="C32" s="75"/>
      <c r="D32" s="32" t="s">
        <v>86</v>
      </c>
      <c r="E32" s="22" t="s">
        <v>51</v>
      </c>
      <c r="F32" s="44">
        <v>44896</v>
      </c>
      <c r="G32" s="45">
        <v>45260</v>
      </c>
      <c r="H32" s="22" t="s">
        <v>50</v>
      </c>
      <c r="I32" s="42"/>
      <c r="J32" s="42"/>
      <c r="K32" s="25">
        <f t="shared" ref="K32:K34" si="1">Q32</f>
        <v>0</v>
      </c>
      <c r="L32" s="42"/>
      <c r="M32" s="25">
        <v>0</v>
      </c>
      <c r="N32" s="25">
        <v>0</v>
      </c>
      <c r="O32" s="25">
        <v>0</v>
      </c>
      <c r="P32" s="25">
        <v>0</v>
      </c>
      <c r="Q32" s="26">
        <f t="shared" ref="Q32:Q34" si="2">M32+N32+O32+P32</f>
        <v>0</v>
      </c>
    </row>
    <row r="33" spans="1:21" s="9" customFormat="1" ht="55.5" customHeight="1">
      <c r="A33" s="91" t="s">
        <v>53</v>
      </c>
      <c r="B33" s="93"/>
      <c r="C33" s="76"/>
      <c r="D33" s="17" t="s">
        <v>54</v>
      </c>
      <c r="E33" s="22" t="s">
        <v>51</v>
      </c>
      <c r="F33" s="6">
        <v>44562</v>
      </c>
      <c r="G33" s="6">
        <v>46022</v>
      </c>
      <c r="H33" s="5"/>
      <c r="I33" s="6" t="s">
        <v>55</v>
      </c>
      <c r="J33" s="10"/>
      <c r="K33" s="25">
        <f t="shared" si="1"/>
        <v>0</v>
      </c>
      <c r="L33" s="10"/>
      <c r="M33" s="25">
        <v>0</v>
      </c>
      <c r="N33" s="25">
        <v>0</v>
      </c>
      <c r="O33" s="25">
        <v>0</v>
      </c>
      <c r="P33" s="25">
        <v>0</v>
      </c>
      <c r="Q33" s="26">
        <f t="shared" si="2"/>
        <v>0</v>
      </c>
    </row>
    <row r="34" spans="1:21" s="9" customFormat="1" ht="69.75" customHeight="1">
      <c r="A34" s="91" t="s">
        <v>156</v>
      </c>
      <c r="B34" s="95" t="s">
        <v>155</v>
      </c>
      <c r="C34" s="77"/>
      <c r="D34" s="17" t="s">
        <v>141</v>
      </c>
      <c r="E34" s="22" t="s">
        <v>51</v>
      </c>
      <c r="F34" s="6"/>
      <c r="G34" s="6"/>
      <c r="H34" s="5"/>
      <c r="I34" s="6"/>
      <c r="J34" s="10"/>
      <c r="K34" s="25">
        <f t="shared" si="1"/>
        <v>249.6</v>
      </c>
      <c r="L34" s="11"/>
      <c r="M34" s="25">
        <v>249.6</v>
      </c>
      <c r="N34" s="25">
        <v>0</v>
      </c>
      <c r="O34" s="25">
        <v>0</v>
      </c>
      <c r="P34" s="25">
        <v>0</v>
      </c>
      <c r="Q34" s="26">
        <f t="shared" si="2"/>
        <v>249.6</v>
      </c>
      <c r="R34" s="149" t="s">
        <v>182</v>
      </c>
      <c r="S34" s="150"/>
    </row>
    <row r="35" spans="1:21" s="9" customFormat="1" ht="24" customHeight="1">
      <c r="A35" s="92" t="s">
        <v>49</v>
      </c>
      <c r="B35" s="94"/>
      <c r="C35" s="73"/>
      <c r="D35" s="5"/>
      <c r="E35" s="5"/>
      <c r="F35" s="6"/>
      <c r="G35" s="6"/>
      <c r="H35" s="5"/>
      <c r="I35" s="6"/>
      <c r="J35" s="10"/>
      <c r="K35" s="11"/>
      <c r="L35" s="10"/>
      <c r="M35" s="11"/>
      <c r="N35" s="11"/>
      <c r="O35" s="11"/>
      <c r="P35" s="11"/>
      <c r="Q35" s="12"/>
    </row>
    <row r="36" spans="1:21" s="27" customFormat="1" ht="34.5" customHeight="1">
      <c r="A36" s="21" t="s">
        <v>36</v>
      </c>
      <c r="B36" s="54"/>
      <c r="C36" s="78"/>
      <c r="D36" s="22" t="s">
        <v>37</v>
      </c>
      <c r="E36" s="22" t="s">
        <v>51</v>
      </c>
      <c r="F36" s="23">
        <v>44378</v>
      </c>
      <c r="G36" s="23">
        <v>45838</v>
      </c>
      <c r="H36" s="22" t="s">
        <v>50</v>
      </c>
      <c r="I36" s="22" t="s">
        <v>38</v>
      </c>
      <c r="J36" s="24"/>
      <c r="K36" s="25">
        <v>0</v>
      </c>
      <c r="L36" s="24"/>
      <c r="M36" s="25">
        <v>0</v>
      </c>
      <c r="N36" s="25">
        <v>0</v>
      </c>
      <c r="O36" s="25">
        <v>0</v>
      </c>
      <c r="P36" s="25">
        <v>0</v>
      </c>
      <c r="Q36" s="26">
        <f t="shared" si="0"/>
        <v>0</v>
      </c>
    </row>
    <row r="37" spans="1:21" s="27" customFormat="1" ht="34.5" customHeight="1">
      <c r="A37" s="28" t="s">
        <v>39</v>
      </c>
      <c r="B37" s="52"/>
      <c r="C37" s="72"/>
      <c r="D37" s="22" t="s">
        <v>40</v>
      </c>
      <c r="E37" s="22" t="s">
        <v>51</v>
      </c>
      <c r="F37" s="23">
        <v>44562</v>
      </c>
      <c r="G37" s="23">
        <v>45657</v>
      </c>
      <c r="H37" s="22" t="s">
        <v>50</v>
      </c>
      <c r="I37" s="22" t="s">
        <v>41</v>
      </c>
      <c r="J37" s="24"/>
      <c r="K37" s="25">
        <v>0</v>
      </c>
      <c r="L37" s="24"/>
      <c r="M37" s="25">
        <v>0</v>
      </c>
      <c r="N37" s="25">
        <v>0</v>
      </c>
      <c r="O37" s="25">
        <v>0</v>
      </c>
      <c r="P37" s="25">
        <v>0</v>
      </c>
      <c r="Q37" s="26">
        <f t="shared" si="0"/>
        <v>0</v>
      </c>
    </row>
    <row r="38" spans="1:21" s="27" customFormat="1" ht="34.5" customHeight="1">
      <c r="A38" s="28" t="s">
        <v>39</v>
      </c>
      <c r="B38" s="52"/>
      <c r="C38" s="72"/>
      <c r="D38" s="22" t="s">
        <v>183</v>
      </c>
      <c r="E38" s="22" t="s">
        <v>51</v>
      </c>
      <c r="F38" s="23">
        <v>45658</v>
      </c>
      <c r="G38" s="23">
        <v>46752</v>
      </c>
      <c r="H38" s="22" t="s">
        <v>50</v>
      </c>
      <c r="I38" s="22"/>
      <c r="J38" s="24"/>
      <c r="K38" s="25"/>
      <c r="L38" s="24"/>
      <c r="M38" s="25"/>
      <c r="N38" s="25"/>
      <c r="O38" s="25"/>
      <c r="P38" s="25"/>
      <c r="Q38" s="26"/>
    </row>
    <row r="39" spans="1:21" s="27" customFormat="1" ht="34.5" customHeight="1">
      <c r="A39" s="28"/>
      <c r="B39" s="52"/>
      <c r="C39" s="72"/>
      <c r="D39" s="22"/>
      <c r="E39" s="22"/>
      <c r="F39" s="23"/>
      <c r="G39" s="23"/>
      <c r="H39" s="22"/>
      <c r="I39" s="22"/>
      <c r="J39" s="24"/>
      <c r="K39" s="25"/>
      <c r="L39" s="24"/>
      <c r="M39" s="25"/>
      <c r="N39" s="25"/>
      <c r="O39" s="25"/>
      <c r="P39" s="25"/>
      <c r="Q39" s="26"/>
    </row>
    <row r="40" spans="1:21" s="27" customFormat="1" ht="34.5" customHeight="1">
      <c r="A40" s="28"/>
      <c r="B40" s="52"/>
      <c r="C40" s="72"/>
      <c r="D40" s="22"/>
      <c r="E40" s="22"/>
      <c r="F40" s="23"/>
      <c r="G40" s="23"/>
      <c r="H40" s="22"/>
      <c r="I40" s="22"/>
      <c r="J40" s="24"/>
      <c r="K40" s="25"/>
      <c r="L40" s="24"/>
      <c r="M40" s="25"/>
      <c r="N40" s="25"/>
      <c r="O40" s="25"/>
      <c r="P40" s="25"/>
      <c r="Q40" s="26"/>
    </row>
    <row r="41" spans="1:21" s="27" customFormat="1" ht="34.5" customHeight="1">
      <c r="A41" s="28" t="s">
        <v>93</v>
      </c>
      <c r="B41" s="52"/>
      <c r="C41" s="72"/>
      <c r="D41" s="22" t="s">
        <v>94</v>
      </c>
      <c r="E41" s="22" t="s">
        <v>51</v>
      </c>
      <c r="F41" s="23">
        <v>44627</v>
      </c>
      <c r="G41" s="23">
        <v>45722</v>
      </c>
      <c r="H41" s="22" t="s">
        <v>50</v>
      </c>
      <c r="I41" s="22" t="s">
        <v>95</v>
      </c>
      <c r="J41" s="24"/>
      <c r="K41" s="25">
        <f>Q41</f>
        <v>631.20000000000005</v>
      </c>
      <c r="L41" s="24"/>
      <c r="M41" s="25">
        <v>168</v>
      </c>
      <c r="N41" s="25">
        <v>108</v>
      </c>
      <c r="O41" s="67">
        <v>108</v>
      </c>
      <c r="P41" s="25">
        <v>247.2</v>
      </c>
      <c r="Q41" s="26">
        <f>SUM(M41:P41)</f>
        <v>631.20000000000005</v>
      </c>
    </row>
    <row r="42" spans="1:21" s="27" customFormat="1" ht="30" customHeight="1">
      <c r="A42" s="21" t="s">
        <v>42</v>
      </c>
      <c r="B42" s="54"/>
      <c r="C42" s="78"/>
      <c r="D42" s="29" t="s">
        <v>43</v>
      </c>
      <c r="E42" s="22" t="s">
        <v>51</v>
      </c>
      <c r="F42" s="23">
        <v>44214</v>
      </c>
      <c r="G42" s="23">
        <v>45107</v>
      </c>
      <c r="H42" s="23">
        <v>45473</v>
      </c>
      <c r="I42" s="22" t="s">
        <v>44</v>
      </c>
      <c r="J42" s="24"/>
      <c r="K42" s="25">
        <f>Q42</f>
        <v>0</v>
      </c>
      <c r="L42" s="24"/>
      <c r="M42" s="25">
        <v>0</v>
      </c>
      <c r="N42" s="25">
        <v>0</v>
      </c>
      <c r="O42" s="25">
        <v>0</v>
      </c>
      <c r="P42" s="25">
        <v>0</v>
      </c>
      <c r="Q42" s="26">
        <f t="shared" si="0"/>
        <v>0</v>
      </c>
    </row>
    <row r="43" spans="1:21" s="27" customFormat="1" ht="57.75" customHeight="1">
      <c r="A43" s="28" t="s">
        <v>157</v>
      </c>
      <c r="B43" s="99" t="s">
        <v>161</v>
      </c>
      <c r="C43" s="78"/>
      <c r="D43" s="29" t="s">
        <v>29</v>
      </c>
      <c r="E43" s="22"/>
      <c r="F43" s="23">
        <v>45163</v>
      </c>
      <c r="G43" s="23"/>
      <c r="H43" s="23"/>
      <c r="I43" s="22"/>
      <c r="J43" s="24"/>
      <c r="K43" s="25"/>
      <c r="L43" s="24"/>
      <c r="M43" s="25"/>
      <c r="N43" s="25"/>
      <c r="O43" s="25"/>
      <c r="P43" s="25"/>
      <c r="Q43" s="26"/>
    </row>
    <row r="44" spans="1:21" s="27" customFormat="1" ht="30" customHeight="1">
      <c r="A44" s="28" t="s">
        <v>158</v>
      </c>
      <c r="B44" s="98" t="s">
        <v>164</v>
      </c>
      <c r="C44" s="78"/>
      <c r="D44" s="29" t="s">
        <v>29</v>
      </c>
      <c r="E44" s="22"/>
      <c r="F44" s="23">
        <v>45040</v>
      </c>
      <c r="G44" s="23"/>
      <c r="H44" s="23"/>
      <c r="I44" s="22"/>
      <c r="J44" s="24"/>
      <c r="K44" s="25"/>
      <c r="L44" s="24"/>
      <c r="M44" s="25"/>
      <c r="N44" s="25"/>
      <c r="O44" s="25"/>
      <c r="P44" s="25"/>
      <c r="Q44" s="26"/>
    </row>
    <row r="45" spans="1:21" s="27" customFormat="1" ht="56.25" customHeight="1">
      <c r="A45" s="28" t="s">
        <v>159</v>
      </c>
      <c r="B45" s="54"/>
      <c r="C45" s="78"/>
      <c r="D45" s="97" t="s">
        <v>160</v>
      </c>
      <c r="E45" s="22"/>
      <c r="F45" s="23"/>
      <c r="G45" s="23"/>
      <c r="H45" s="23"/>
      <c r="I45" s="22"/>
      <c r="J45" s="24"/>
      <c r="K45" s="25"/>
      <c r="L45" s="24"/>
      <c r="M45" s="25"/>
      <c r="N45" s="25"/>
      <c r="O45" s="25"/>
      <c r="P45" s="25"/>
      <c r="Q45" s="26"/>
    </row>
    <row r="46" spans="1:21" s="27" customFormat="1" ht="25.5">
      <c r="A46" s="28" t="s">
        <v>22</v>
      </c>
      <c r="B46" s="52"/>
      <c r="C46" s="72"/>
      <c r="D46" s="22" t="s">
        <v>35</v>
      </c>
      <c r="E46" s="22" t="s">
        <v>51</v>
      </c>
      <c r="F46" s="23">
        <v>44522</v>
      </c>
      <c r="G46" s="23">
        <v>45617</v>
      </c>
      <c r="H46" s="22" t="s">
        <v>50</v>
      </c>
      <c r="I46" s="22" t="s">
        <v>34</v>
      </c>
      <c r="J46" s="24"/>
      <c r="K46" s="25">
        <f t="shared" ref="K46:K48" si="3">Q46</f>
        <v>913.09</v>
      </c>
      <c r="L46" s="24"/>
      <c r="M46" s="25">
        <v>913.09</v>
      </c>
      <c r="N46" s="25">
        <v>0</v>
      </c>
      <c r="O46" s="25">
        <v>0</v>
      </c>
      <c r="P46" s="25">
        <v>0</v>
      </c>
      <c r="Q46" s="26">
        <f>M46+N46+O46+P46</f>
        <v>913.09</v>
      </c>
      <c r="R46" s="109" t="s">
        <v>184</v>
      </c>
      <c r="S46" s="109"/>
      <c r="T46" s="109"/>
      <c r="U46" s="109"/>
    </row>
    <row r="47" spans="1:21" s="27" customFormat="1" ht="28.5" customHeight="1">
      <c r="A47" s="28" t="s">
        <v>56</v>
      </c>
      <c r="B47" s="52"/>
      <c r="C47" s="72"/>
      <c r="D47" s="22" t="s">
        <v>57</v>
      </c>
      <c r="E47" s="22" t="s">
        <v>51</v>
      </c>
      <c r="F47" s="23">
        <v>45259</v>
      </c>
      <c r="G47" s="23">
        <v>46719</v>
      </c>
      <c r="H47" s="22" t="s">
        <v>50</v>
      </c>
      <c r="I47" s="22" t="s">
        <v>58</v>
      </c>
      <c r="J47" s="24"/>
      <c r="K47" s="25">
        <f t="shared" si="3"/>
        <v>0</v>
      </c>
      <c r="L47" s="24"/>
      <c r="M47" s="25">
        <v>0</v>
      </c>
      <c r="N47" s="25">
        <v>0</v>
      </c>
      <c r="O47" s="25">
        <v>0</v>
      </c>
      <c r="P47" s="25">
        <v>0</v>
      </c>
      <c r="Q47" s="26">
        <f t="shared" ref="Q47:Q48" si="4">M47+N47+O47+P47</f>
        <v>0</v>
      </c>
    </row>
    <row r="48" spans="1:21" s="27" customFormat="1" ht="28.5" customHeight="1">
      <c r="A48" s="28" t="s">
        <v>60</v>
      </c>
      <c r="B48" s="52"/>
      <c r="C48" s="72"/>
      <c r="D48" s="22" t="s">
        <v>59</v>
      </c>
      <c r="E48" s="22" t="s">
        <v>51</v>
      </c>
      <c r="F48" s="23">
        <v>44927</v>
      </c>
      <c r="G48" s="23">
        <v>38717</v>
      </c>
      <c r="H48" s="22" t="s">
        <v>50</v>
      </c>
      <c r="I48" s="22" t="s">
        <v>61</v>
      </c>
      <c r="J48" s="24"/>
      <c r="K48" s="25">
        <f t="shared" si="3"/>
        <v>0</v>
      </c>
      <c r="L48" s="24"/>
      <c r="M48" s="25">
        <v>0</v>
      </c>
      <c r="N48" s="25">
        <v>0</v>
      </c>
      <c r="O48" s="25">
        <v>0</v>
      </c>
      <c r="P48" s="25">
        <v>0</v>
      </c>
      <c r="Q48" s="26">
        <f t="shared" si="4"/>
        <v>0</v>
      </c>
    </row>
    <row r="49" spans="1:20" ht="28.5">
      <c r="A49" s="20" t="s">
        <v>87</v>
      </c>
      <c r="B49" s="20"/>
      <c r="C49" s="79"/>
      <c r="D49" s="32" t="s">
        <v>88</v>
      </c>
      <c r="E49" s="22" t="s">
        <v>51</v>
      </c>
      <c r="F49" s="33">
        <v>45533</v>
      </c>
      <c r="G49" s="44">
        <v>46627</v>
      </c>
      <c r="H49" s="22" t="s">
        <v>50</v>
      </c>
      <c r="I49" s="42"/>
      <c r="J49" s="42"/>
      <c r="K49" s="43">
        <v>510</v>
      </c>
      <c r="L49" s="42"/>
      <c r="M49" s="43">
        <v>510</v>
      </c>
      <c r="N49" s="42"/>
      <c r="O49" s="42"/>
      <c r="P49" s="42"/>
      <c r="Q49" s="42"/>
    </row>
    <row r="50" spans="1:20" s="9" customFormat="1" ht="12.75">
      <c r="A50" s="14"/>
      <c r="B50" s="55"/>
      <c r="C50" s="80"/>
      <c r="D50" s="10"/>
      <c r="E50" s="5"/>
      <c r="F50" s="10"/>
      <c r="G50" s="5"/>
      <c r="H50" s="5"/>
      <c r="I50" s="10"/>
      <c r="J50" s="10"/>
      <c r="K50" s="11"/>
      <c r="L50" s="10"/>
      <c r="M50" s="11"/>
      <c r="N50" s="11"/>
      <c r="O50" s="11"/>
      <c r="P50" s="11"/>
      <c r="Q50" s="12"/>
    </row>
    <row r="51" spans="1:20" s="9" customFormat="1" ht="12.75">
      <c r="A51" s="18" t="s">
        <v>62</v>
      </c>
      <c r="B51" s="56"/>
      <c r="C51" s="81"/>
      <c r="D51" s="10"/>
      <c r="E51" s="5"/>
      <c r="F51" s="10"/>
      <c r="G51" s="5"/>
      <c r="H51" s="5"/>
      <c r="I51" s="10"/>
      <c r="J51" s="10"/>
      <c r="K51" s="11"/>
      <c r="L51" s="10"/>
      <c r="M51" s="11"/>
      <c r="N51" s="11"/>
      <c r="O51" s="11"/>
      <c r="P51" s="11"/>
      <c r="Q51" s="12"/>
    </row>
    <row r="52" spans="1:20" s="27" customFormat="1" ht="30" customHeight="1">
      <c r="A52" s="21" t="s">
        <v>17</v>
      </c>
      <c r="B52" s="54"/>
      <c r="C52" s="78"/>
      <c r="D52" s="22" t="s">
        <v>21</v>
      </c>
      <c r="E52" s="22" t="s">
        <v>143</v>
      </c>
      <c r="F52" s="23">
        <v>44652</v>
      </c>
      <c r="G52" s="23">
        <v>45747</v>
      </c>
      <c r="H52" s="22" t="s">
        <v>50</v>
      </c>
      <c r="I52" s="23" t="s">
        <v>18</v>
      </c>
      <c r="J52" s="24"/>
      <c r="K52" s="25">
        <v>1849.02</v>
      </c>
      <c r="L52" s="24"/>
      <c r="M52" s="25"/>
      <c r="N52" s="25"/>
      <c r="O52" s="25"/>
      <c r="P52" s="25"/>
      <c r="Q52" s="26"/>
      <c r="R52" s="25"/>
      <c r="T52" s="67"/>
    </row>
    <row r="53" spans="1:20" s="27" customFormat="1" ht="35.25" customHeight="1">
      <c r="A53" s="28" t="s">
        <v>63</v>
      </c>
      <c r="B53" s="100" t="s">
        <v>163</v>
      </c>
      <c r="C53" s="72"/>
      <c r="D53" s="52" t="s">
        <v>162</v>
      </c>
      <c r="E53" s="22" t="s">
        <v>143</v>
      </c>
      <c r="F53" s="23">
        <v>44431</v>
      </c>
      <c r="G53" s="23"/>
      <c r="H53" s="22"/>
      <c r="I53" s="22" t="s">
        <v>46</v>
      </c>
      <c r="J53" s="24"/>
      <c r="K53" s="25">
        <v>0</v>
      </c>
      <c r="L53" s="24"/>
      <c r="M53" s="25">
        <v>0</v>
      </c>
      <c r="N53" s="25">
        <v>0</v>
      </c>
      <c r="O53" s="25">
        <v>0</v>
      </c>
      <c r="P53" s="25">
        <v>0</v>
      </c>
      <c r="Q53" s="26">
        <f>M53+N53+O53+P53</f>
        <v>0</v>
      </c>
    </row>
    <row r="54" spans="1:20" s="27" customFormat="1" ht="27" customHeight="1">
      <c r="A54" s="21" t="s">
        <v>64</v>
      </c>
      <c r="B54" s="54"/>
      <c r="C54" s="96">
        <v>45481</v>
      </c>
      <c r="D54" s="17" t="s">
        <v>136</v>
      </c>
      <c r="E54" s="22" t="s">
        <v>143</v>
      </c>
      <c r="F54" s="5"/>
      <c r="G54" s="5"/>
      <c r="H54" s="10"/>
      <c r="I54" s="10"/>
      <c r="J54" s="9"/>
      <c r="K54" s="11">
        <f>Q54</f>
        <v>1341.6</v>
      </c>
      <c r="L54" s="10"/>
      <c r="M54" s="11">
        <v>1341.6</v>
      </c>
      <c r="N54" s="11">
        <v>0</v>
      </c>
      <c r="O54" s="11">
        <v>0</v>
      </c>
      <c r="P54" s="11">
        <v>0</v>
      </c>
      <c r="Q54" s="12">
        <f>SUM(M54:P54)</f>
        <v>1341.6</v>
      </c>
    </row>
    <row r="55" spans="1:20" s="27" customFormat="1" ht="25.5" customHeight="1">
      <c r="A55" s="30" t="s">
        <v>77</v>
      </c>
      <c r="B55" s="57"/>
      <c r="C55" s="82"/>
      <c r="D55" s="22" t="s">
        <v>79</v>
      </c>
      <c r="E55" s="22" t="s">
        <v>143</v>
      </c>
      <c r="F55" s="31">
        <v>44896</v>
      </c>
      <c r="G55" s="23">
        <v>45260</v>
      </c>
      <c r="H55" s="22" t="s">
        <v>50</v>
      </c>
      <c r="I55" s="22" t="s">
        <v>80</v>
      </c>
      <c r="J55" s="24"/>
      <c r="K55" s="11">
        <f t="shared" ref="K55:K57" si="5">Q55</f>
        <v>538.46</v>
      </c>
      <c r="L55" s="24"/>
      <c r="M55" s="25">
        <v>538.46</v>
      </c>
      <c r="N55" s="25">
        <v>0</v>
      </c>
      <c r="O55" s="25">
        <v>0</v>
      </c>
      <c r="P55" s="25">
        <v>0</v>
      </c>
      <c r="Q55" s="26">
        <f t="shared" si="0"/>
        <v>538.46</v>
      </c>
    </row>
    <row r="56" spans="1:20" s="9" customFormat="1" ht="30" customHeight="1">
      <c r="A56" s="14" t="s">
        <v>78</v>
      </c>
      <c r="B56" s="55"/>
      <c r="C56" s="80"/>
      <c r="D56" s="5" t="s">
        <v>76</v>
      </c>
      <c r="E56" s="22" t="s">
        <v>143</v>
      </c>
      <c r="F56" s="10"/>
      <c r="G56" s="5"/>
      <c r="H56" s="5"/>
      <c r="I56" s="10"/>
      <c r="J56" s="10"/>
      <c r="K56" s="11">
        <f t="shared" si="5"/>
        <v>0</v>
      </c>
      <c r="L56" s="10"/>
      <c r="M56" s="25">
        <v>0</v>
      </c>
      <c r="N56" s="25">
        <v>0</v>
      </c>
      <c r="O56" s="25">
        <v>0</v>
      </c>
      <c r="P56" s="25">
        <v>0</v>
      </c>
      <c r="Q56" s="26">
        <f t="shared" si="0"/>
        <v>0</v>
      </c>
    </row>
    <row r="57" spans="1:20" s="9" customFormat="1" ht="30" customHeight="1">
      <c r="A57" s="62" t="s">
        <v>132</v>
      </c>
      <c r="B57" s="5" t="s">
        <v>134</v>
      </c>
      <c r="C57" s="83"/>
      <c r="D57" s="17" t="s">
        <v>133</v>
      </c>
      <c r="E57" s="22" t="s">
        <v>143</v>
      </c>
      <c r="F57" s="6">
        <v>41640</v>
      </c>
      <c r="G57" s="6">
        <v>45657</v>
      </c>
      <c r="H57" s="10"/>
      <c r="I57" s="10"/>
      <c r="J57" s="11"/>
      <c r="K57" s="11">
        <f t="shared" si="5"/>
        <v>450</v>
      </c>
      <c r="L57" s="11"/>
      <c r="M57" s="11">
        <v>150</v>
      </c>
      <c r="N57" s="11">
        <v>150</v>
      </c>
      <c r="O57" s="11">
        <v>150</v>
      </c>
      <c r="P57" s="25">
        <v>0</v>
      </c>
      <c r="Q57" s="26">
        <f t="shared" si="0"/>
        <v>450</v>
      </c>
      <c r="R57" s="155" t="s">
        <v>181</v>
      </c>
      <c r="S57" s="158"/>
    </row>
    <row r="58" spans="1:20" s="9" customFormat="1" ht="30" customHeight="1">
      <c r="A58" s="62" t="s">
        <v>137</v>
      </c>
      <c r="C58" s="77"/>
      <c r="D58" s="17" t="s">
        <v>138</v>
      </c>
      <c r="E58" s="22" t="s">
        <v>143</v>
      </c>
      <c r="F58" s="10"/>
      <c r="G58" s="5"/>
      <c r="H58" s="5"/>
      <c r="I58" s="10"/>
      <c r="J58" s="10"/>
      <c r="K58" s="11">
        <f>Q58</f>
        <v>443.62</v>
      </c>
      <c r="L58" s="10"/>
      <c r="M58" s="11">
        <v>443.62</v>
      </c>
      <c r="N58" s="11">
        <v>0</v>
      </c>
      <c r="O58" s="11">
        <v>0</v>
      </c>
      <c r="P58" s="11">
        <v>0</v>
      </c>
      <c r="Q58" s="12">
        <f t="shared" ref="Q58" si="6">SUM(M58:P58)</f>
        <v>443.62</v>
      </c>
    </row>
    <row r="59" spans="1:20" s="9" customFormat="1" ht="12.75">
      <c r="A59" s="18" t="s">
        <v>65</v>
      </c>
      <c r="B59" s="56"/>
      <c r="C59" s="81"/>
      <c r="D59" s="10"/>
      <c r="E59" s="22"/>
      <c r="F59" s="10"/>
      <c r="G59" s="5"/>
      <c r="H59" s="5"/>
      <c r="I59" s="10"/>
      <c r="J59" s="10"/>
      <c r="K59" s="11"/>
      <c r="L59" s="10"/>
      <c r="M59" s="11"/>
      <c r="N59" s="11"/>
      <c r="O59" s="11"/>
      <c r="P59" s="11"/>
      <c r="Q59" s="12"/>
    </row>
    <row r="60" spans="1:20" s="27" customFormat="1" ht="48.75" customHeight="1">
      <c r="A60" s="28" t="s">
        <v>68</v>
      </c>
      <c r="B60" s="52"/>
      <c r="C60" s="72"/>
      <c r="D60" s="22" t="s">
        <v>66</v>
      </c>
      <c r="E60" s="22" t="s">
        <v>143</v>
      </c>
      <c r="F60" s="23">
        <v>44805</v>
      </c>
      <c r="G60" s="23">
        <v>45900</v>
      </c>
      <c r="H60" s="22" t="s">
        <v>50</v>
      </c>
      <c r="I60" s="22" t="s">
        <v>47</v>
      </c>
      <c r="J60" s="24"/>
      <c r="K60" s="25">
        <v>1564.91</v>
      </c>
      <c r="L60" s="24"/>
      <c r="M60" s="25">
        <v>0</v>
      </c>
      <c r="N60" s="25">
        <v>0</v>
      </c>
      <c r="O60" s="25">
        <v>0</v>
      </c>
      <c r="P60" s="25">
        <v>0</v>
      </c>
      <c r="Q60" s="26">
        <f>M60+N60+O60+P60</f>
        <v>0</v>
      </c>
    </row>
    <row r="61" spans="1:20" s="27" customFormat="1" ht="47.25" customHeight="1">
      <c r="A61" s="28" t="s">
        <v>102</v>
      </c>
      <c r="B61" s="52"/>
      <c r="C61" s="72"/>
      <c r="D61" s="22" t="s">
        <v>66</v>
      </c>
      <c r="E61" s="22" t="s">
        <v>143</v>
      </c>
      <c r="F61" s="23">
        <v>45292</v>
      </c>
      <c r="G61" s="23">
        <v>45657</v>
      </c>
      <c r="H61" s="29" t="s">
        <v>67</v>
      </c>
      <c r="I61" s="24"/>
      <c r="J61" s="24"/>
      <c r="K61" s="25">
        <f>Q61</f>
        <v>792</v>
      </c>
      <c r="L61" s="24"/>
      <c r="M61" s="25">
        <v>792</v>
      </c>
      <c r="N61" s="25">
        <v>0</v>
      </c>
      <c r="O61" s="25">
        <v>0</v>
      </c>
      <c r="P61" s="25">
        <v>0</v>
      </c>
      <c r="Q61" s="26">
        <f t="shared" si="0"/>
        <v>792</v>
      </c>
      <c r="R61" s="155" t="s">
        <v>178</v>
      </c>
      <c r="S61" s="158"/>
    </row>
    <row r="62" spans="1:20" s="27" customFormat="1" ht="30" customHeight="1">
      <c r="A62" s="34" t="s">
        <v>176</v>
      </c>
      <c r="B62" s="58"/>
      <c r="C62" s="84"/>
      <c r="D62" s="36" t="s">
        <v>70</v>
      </c>
      <c r="E62" s="22" t="s">
        <v>143</v>
      </c>
      <c r="F62" s="37">
        <v>45292</v>
      </c>
      <c r="G62" s="37">
        <v>45657</v>
      </c>
      <c r="H62" s="38" t="s">
        <v>67</v>
      </c>
      <c r="I62" s="35"/>
      <c r="J62" s="35"/>
      <c r="K62" s="25">
        <f t="shared" ref="K62:K64" si="7">Q62</f>
        <v>505.56</v>
      </c>
      <c r="L62" s="35"/>
      <c r="M62" s="39">
        <v>505.56</v>
      </c>
      <c r="N62" s="39">
        <v>0</v>
      </c>
      <c r="O62" s="39">
        <v>0</v>
      </c>
      <c r="P62" s="39">
        <v>0</v>
      </c>
      <c r="Q62" s="40">
        <f t="shared" si="0"/>
        <v>505.56</v>
      </c>
      <c r="R62" s="155" t="s">
        <v>177</v>
      </c>
      <c r="S62" s="156"/>
    </row>
    <row r="63" spans="1:20" s="27" customFormat="1" ht="37.5" customHeight="1">
      <c r="A63" s="29" t="s">
        <v>82</v>
      </c>
      <c r="B63" s="29"/>
      <c r="C63" s="85"/>
      <c r="D63" s="29" t="s">
        <v>81</v>
      </c>
      <c r="E63" s="22" t="s">
        <v>143</v>
      </c>
      <c r="F63" s="23">
        <v>45292</v>
      </c>
      <c r="G63" s="23">
        <v>45657</v>
      </c>
      <c r="H63" s="29"/>
      <c r="I63" s="24"/>
      <c r="J63" s="24"/>
      <c r="K63" s="25">
        <f t="shared" si="7"/>
        <v>360</v>
      </c>
      <c r="L63" s="24"/>
      <c r="M63" s="25">
        <v>360</v>
      </c>
      <c r="N63" s="39">
        <v>0</v>
      </c>
      <c r="O63" s="39">
        <v>0</v>
      </c>
      <c r="P63" s="39">
        <v>0</v>
      </c>
      <c r="Q63" s="40">
        <f t="shared" si="0"/>
        <v>360</v>
      </c>
    </row>
    <row r="64" spans="1:20" s="27" customFormat="1" ht="37.5" customHeight="1">
      <c r="A64" s="29" t="s">
        <v>103</v>
      </c>
      <c r="B64" s="29"/>
      <c r="C64" s="85"/>
      <c r="D64" s="41"/>
      <c r="E64" s="22" t="s">
        <v>143</v>
      </c>
      <c r="F64" s="23">
        <v>45292</v>
      </c>
      <c r="G64" s="23">
        <v>45657</v>
      </c>
      <c r="H64" s="29"/>
      <c r="I64" s="24"/>
      <c r="J64" s="24"/>
      <c r="K64" s="25">
        <f t="shared" si="7"/>
        <v>330</v>
      </c>
      <c r="L64" s="24"/>
      <c r="M64" s="25">
        <v>330</v>
      </c>
      <c r="N64" s="39">
        <v>0</v>
      </c>
      <c r="O64" s="39">
        <v>0</v>
      </c>
      <c r="P64" s="39">
        <v>0</v>
      </c>
      <c r="Q64" s="40">
        <f t="shared" si="0"/>
        <v>330</v>
      </c>
      <c r="R64" s="155" t="s">
        <v>179</v>
      </c>
      <c r="S64" s="156"/>
    </row>
    <row r="65" spans="1:19">
      <c r="C65" s="86"/>
    </row>
    <row r="66" spans="1:19" s="9" customFormat="1" ht="12.75">
      <c r="A66" s="19" t="s">
        <v>167</v>
      </c>
      <c r="B66" s="19"/>
      <c r="C66" s="69"/>
      <c r="E66" s="16"/>
      <c r="G66" s="16"/>
      <c r="H66" s="16"/>
    </row>
    <row r="67" spans="1:19">
      <c r="A67" s="42" t="s">
        <v>168</v>
      </c>
      <c r="B67" s="42"/>
      <c r="C67" s="75"/>
      <c r="D67" s="32" t="s">
        <v>169</v>
      </c>
      <c r="E67" s="32"/>
      <c r="F67" s="33">
        <v>44795</v>
      </c>
      <c r="G67" s="44">
        <v>45890</v>
      </c>
      <c r="H67" s="32"/>
      <c r="I67" s="42"/>
      <c r="J67" s="42"/>
      <c r="K67" s="43">
        <v>1000</v>
      </c>
      <c r="L67" s="42"/>
      <c r="M67" s="42"/>
      <c r="N67" s="42"/>
      <c r="O67" s="42"/>
      <c r="P67" s="42"/>
      <c r="Q67" s="42"/>
    </row>
    <row r="68" spans="1:19">
      <c r="C68" s="86"/>
    </row>
    <row r="69" spans="1:19">
      <c r="C69" s="86"/>
    </row>
    <row r="70" spans="1:19" s="9" customFormat="1" ht="12.75">
      <c r="A70" s="19" t="s">
        <v>89</v>
      </c>
      <c r="B70" s="19"/>
      <c r="C70" s="69"/>
      <c r="E70" s="16"/>
      <c r="G70" s="16"/>
      <c r="H70" s="16"/>
    </row>
    <row r="71" spans="1:19" s="27" customFormat="1" ht="25.5">
      <c r="A71" s="28" t="s">
        <v>90</v>
      </c>
      <c r="B71" s="52"/>
      <c r="C71" s="72"/>
      <c r="D71" s="29" t="s">
        <v>91</v>
      </c>
      <c r="E71" s="22"/>
      <c r="F71" s="129" t="s">
        <v>92</v>
      </c>
      <c r="G71" s="130"/>
      <c r="H71" s="22" t="s">
        <v>50</v>
      </c>
      <c r="I71" s="23"/>
      <c r="J71" s="24"/>
      <c r="K71" s="25">
        <v>0</v>
      </c>
      <c r="L71" s="24"/>
      <c r="M71" s="25">
        <v>0</v>
      </c>
      <c r="N71" s="25">
        <v>0</v>
      </c>
      <c r="O71" s="25">
        <v>0</v>
      </c>
      <c r="P71" s="25">
        <v>0</v>
      </c>
      <c r="Q71" s="26">
        <f>M71+N71+O71+P71</f>
        <v>0</v>
      </c>
    </row>
    <row r="72" spans="1:19" s="9" customFormat="1" ht="34.5" customHeight="1">
      <c r="A72" s="17" t="s">
        <v>142</v>
      </c>
      <c r="B72" s="10"/>
      <c r="C72" s="87"/>
      <c r="D72" s="5" t="s">
        <v>144</v>
      </c>
      <c r="E72" s="22" t="s">
        <v>51</v>
      </c>
      <c r="F72" s="5"/>
      <c r="G72" s="5"/>
      <c r="H72" s="10"/>
      <c r="I72" s="10"/>
      <c r="J72" s="10"/>
      <c r="K72" s="10">
        <v>1313.42</v>
      </c>
      <c r="L72" s="10"/>
      <c r="M72" s="10"/>
      <c r="N72" s="10"/>
      <c r="O72" s="10"/>
      <c r="P72" s="10"/>
      <c r="Q72" s="10"/>
      <c r="R72" s="157" t="s">
        <v>180</v>
      </c>
      <c r="S72" s="158"/>
    </row>
    <row r="73" spans="1:19" s="9" customFormat="1" ht="12.75">
      <c r="C73" s="77"/>
      <c r="E73" s="16"/>
      <c r="G73" s="16"/>
      <c r="H73" s="16"/>
    </row>
    <row r="74" spans="1:19" s="9" customFormat="1" ht="12.75">
      <c r="C74" s="77"/>
      <c r="E74" s="16"/>
      <c r="G74" s="16"/>
      <c r="H74" s="16"/>
    </row>
    <row r="75" spans="1:19" s="9" customFormat="1" ht="12.75">
      <c r="A75" s="10" t="s">
        <v>96</v>
      </c>
      <c r="B75" s="10"/>
      <c r="C75" s="87"/>
      <c r="D75" s="5" t="s">
        <v>20</v>
      </c>
      <c r="E75" s="5" t="s">
        <v>51</v>
      </c>
      <c r="F75" s="10" t="s">
        <v>97</v>
      </c>
      <c r="G75" s="5" t="s">
        <v>98</v>
      </c>
      <c r="H75" s="22" t="s">
        <v>50</v>
      </c>
      <c r="I75" s="10" t="s">
        <v>99</v>
      </c>
      <c r="J75" s="10"/>
      <c r="K75" s="10"/>
      <c r="L75" s="10"/>
      <c r="M75" s="10"/>
      <c r="N75" s="10"/>
      <c r="O75" s="10"/>
      <c r="P75" s="10"/>
      <c r="Q75" s="10"/>
    </row>
    <row r="76" spans="1:19" s="9" customFormat="1" ht="12.75">
      <c r="E76" s="16"/>
      <c r="G76" s="16"/>
      <c r="H76" s="16"/>
    </row>
    <row r="77" spans="1:19" s="9" customFormat="1" ht="25.5">
      <c r="A77" s="10" t="s">
        <v>172</v>
      </c>
      <c r="B77" s="17" t="s">
        <v>174</v>
      </c>
      <c r="C77" s="10"/>
      <c r="D77" s="5" t="s">
        <v>173</v>
      </c>
      <c r="E77" s="16"/>
      <c r="G77" s="16"/>
      <c r="H77" s="16"/>
    </row>
    <row r="78" spans="1:19" s="9" customFormat="1" ht="12.75">
      <c r="E78" s="16"/>
      <c r="G78" s="16"/>
      <c r="H78" s="16"/>
    </row>
    <row r="79" spans="1:19" s="9" customFormat="1" ht="21.75" customHeight="1">
      <c r="A79" s="89" t="s">
        <v>149</v>
      </c>
      <c r="E79" s="16"/>
      <c r="G79" s="16"/>
      <c r="H79" s="16"/>
    </row>
    <row r="80" spans="1:19" s="9" customFormat="1" ht="32.25" customHeight="1">
      <c r="A80" s="88" t="s">
        <v>151</v>
      </c>
      <c r="B80" s="103" t="s">
        <v>166</v>
      </c>
      <c r="E80" s="16"/>
      <c r="G80" s="16"/>
      <c r="H80" s="16"/>
    </row>
    <row r="81" spans="1:8" s="9" customFormat="1" ht="37.5" customHeight="1">
      <c r="A81" s="88" t="s">
        <v>150</v>
      </c>
      <c r="B81" s="103" t="s">
        <v>166</v>
      </c>
      <c r="E81" s="16"/>
      <c r="G81" s="16"/>
      <c r="H81" s="16"/>
    </row>
    <row r="82" spans="1:8" s="9" customFormat="1" ht="12.75">
      <c r="E82" s="16"/>
      <c r="G82" s="16"/>
      <c r="H82" s="16"/>
    </row>
    <row r="83" spans="1:8" s="9" customFormat="1" ht="12.75">
      <c r="E83" s="16"/>
      <c r="G83" s="16"/>
      <c r="H83" s="16"/>
    </row>
    <row r="85" spans="1:8" s="9" customFormat="1" ht="12.75">
      <c r="E85" s="16"/>
      <c r="G85" s="16"/>
      <c r="H85" s="16"/>
    </row>
    <row r="86" spans="1:8" s="9" customFormat="1" ht="12.75">
      <c r="E86" s="16"/>
      <c r="G86" s="16"/>
      <c r="H86" s="16"/>
    </row>
    <row r="87" spans="1:8" s="9" customFormat="1" ht="12.75">
      <c r="E87" s="16"/>
      <c r="G87" s="16"/>
      <c r="H87" s="16"/>
    </row>
    <row r="88" spans="1:8" s="9" customFormat="1" ht="12.75">
      <c r="E88" s="16"/>
      <c r="G88" s="16"/>
      <c r="H88" s="16"/>
    </row>
    <row r="89" spans="1:8" s="9" customFormat="1" ht="111" customHeight="1">
      <c r="A89" s="144" t="s">
        <v>153</v>
      </c>
      <c r="B89" s="145"/>
      <c r="C89" s="145"/>
      <c r="D89" s="145"/>
      <c r="E89" s="145"/>
      <c r="F89" s="146"/>
      <c r="G89" s="16"/>
      <c r="H89" s="16"/>
    </row>
    <row r="90" spans="1:8" s="9" customFormat="1" ht="12.75">
      <c r="E90" s="16"/>
      <c r="G90" s="16"/>
      <c r="H90" s="16"/>
    </row>
    <row r="91" spans="1:8" s="9" customFormat="1" ht="12.75">
      <c r="E91" s="16"/>
      <c r="G91" s="16"/>
      <c r="H91" s="16"/>
    </row>
    <row r="92" spans="1:8" s="9" customFormat="1" ht="12.75">
      <c r="E92" s="16"/>
      <c r="G92" s="16"/>
      <c r="H92" s="16"/>
    </row>
    <row r="93" spans="1:8" s="9" customFormat="1" ht="12.75">
      <c r="E93" s="16"/>
      <c r="G93" s="16"/>
      <c r="H93" s="16"/>
    </row>
    <row r="94" spans="1:8" s="9" customFormat="1" ht="12.75">
      <c r="E94" s="16"/>
      <c r="G94" s="16"/>
      <c r="H94" s="16"/>
    </row>
    <row r="95" spans="1:8" s="9" customFormat="1" ht="12.75">
      <c r="E95" s="16"/>
      <c r="G95" s="16"/>
      <c r="H95" s="16"/>
    </row>
    <row r="96" spans="1:8" s="9" customFormat="1" ht="12.75">
      <c r="E96" s="16"/>
      <c r="G96" s="16"/>
      <c r="H96" s="16"/>
    </row>
    <row r="97" spans="5:8" s="9" customFormat="1" ht="12.75">
      <c r="E97" s="16"/>
      <c r="G97" s="16"/>
      <c r="H97" s="16"/>
    </row>
    <row r="101" spans="5:8" ht="15">
      <c r="H101"/>
    </row>
  </sheetData>
  <mergeCells count="10">
    <mergeCell ref="D6:G6"/>
    <mergeCell ref="F71:G71"/>
    <mergeCell ref="A89:F89"/>
    <mergeCell ref="K20:K21"/>
    <mergeCell ref="R62:S62"/>
    <mergeCell ref="R64:S64"/>
    <mergeCell ref="R72:S72"/>
    <mergeCell ref="R61:S61"/>
    <mergeCell ref="R57:S57"/>
    <mergeCell ref="R34:S34"/>
  </mergeCells>
  <printOptions horizontalCentered="1"/>
  <pageMargins left="0.11811023622047245" right="0.11811023622047245" top="0.74803149606299213" bottom="0.74803149606299213" header="0.31496062992125984" footer="0.31496062992125984"/>
  <pageSetup paperSize="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41" sqref="C41"/>
    </sheetView>
  </sheetViews>
  <sheetFormatPr baseColWidth="10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Contrats 2023</vt:lpstr>
      <vt:lpstr>Contrats 2027</vt:lpstr>
      <vt:lpstr>Contrats 2026</vt:lpstr>
      <vt:lpstr>Contrats 2025</vt:lpstr>
      <vt:lpstr>Contrats 2024</vt:lpstr>
      <vt:lpstr>Feuil2</vt:lpstr>
      <vt:lpstr>Feuil3</vt:lpstr>
    </vt:vector>
  </TitlesOfParts>
  <Company>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kperrin</dc:creator>
  <cp:lastModifiedBy>gisele.tinet.adm</cp:lastModifiedBy>
  <cp:lastPrinted>2024-10-15T06:41:36Z</cp:lastPrinted>
  <dcterms:created xsi:type="dcterms:W3CDTF">2023-05-13T13:16:43Z</dcterms:created>
  <dcterms:modified xsi:type="dcterms:W3CDTF">2026-08-28T09:58:12Z</dcterms:modified>
</cp:coreProperties>
</file>